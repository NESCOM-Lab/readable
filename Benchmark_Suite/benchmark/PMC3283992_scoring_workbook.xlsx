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7151b89c7746a2" /></Relationships>
</file>

<file path=xl/workbook.xml><?xml version="1.0" encoding="utf-8"?>
<x:workbook xmlns:x="http://schemas.openxmlformats.org/spreadsheetml/2006/main">
  <x:sheets>
    <x:sheet xmlns:r="http://schemas.openxmlformats.org/officeDocument/2006/relationships" name="Scores" sheetId="1" r:id="R4ceedc059cd44e92"/>
    <x:sheet xmlns:r="http://schemas.openxmlformats.org/officeDocument/2006/relationships" name="Questions" sheetId="2" r:id="R577a3125f7dd4828"/>
    <x:sheet xmlns:r="http://schemas.openxmlformats.org/officeDocument/2006/relationships" name="Guide" sheetId="3" r:id="R1ef6dc62b8fb468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sz val="10"/>
      <x:color rgb="FF1F2937"/>
      <x:name val="Arial"/>
    </x:font>
    <x:font>
      <x:b/>
      <x:sz val="15"/>
      <x:color rgb="FF243B5A"/>
      <x:name val="Arial"/>
    </x:font>
    <x:font>
      <x:i/>
      <x:sz val="10"/>
      <x:color rgb="FF526277"/>
      <x:name val="Arial"/>
    </x:font>
    <x:font>
      <x:b/>
      <x:sz val="10"/>
      <x:color rgb="FFFFFFFF"/>
      <x:name val="Arial"/>
    </x:font>
    <x:font>
      <x:b/>
      <x:sz val="10"/>
      <x:color rgb="FF1F2937"/>
      <x:name val="Arial"/>
    </x:font>
    <x:font>
      <x:sz val="10"/>
      <x:color rgb="FF526277"/>
      <x:name val="Arial"/>
    </x:font>
  </x:fonts>
  <x:fills count="9">
    <x:fill>
      <x:patternFill patternType="none"/>
    </x:fill>
    <x:fill>
      <x:patternFill patternType="gray125"/>
    </x:fill>
    <x:fill>
      <x:patternFill patternType="solid">
        <x:fgColor rgb="FF243B5A"/>
      </x:patternFill>
    </x:fill>
    <x:fill>
      <x:patternFill patternType="solid">
        <x:fgColor rgb="FFFFF3D1"/>
      </x:patternFill>
    </x:fill>
    <x:fill>
      <x:patternFill patternType="solid">
        <x:fgColor rgb="FFEFF3F8"/>
      </x:patternFill>
    </x:fill>
    <x:fill>
      <x:patternFill patternType="solid">
        <x:fgColor rgb="FF243B5A"/>
      </x:patternFill>
    </x:fill>
    <x:fill>
      <x:patternFill patternType="solid">
        <x:fgColor rgb="FFEFF3F8"/>
      </x:patternFill>
    </x:fill>
    <x:fill>
      <x:patternFill patternType="solid">
        <x:fgColor rgb="FF243B5A"/>
      </x:patternFill>
    </x:fill>
    <x:fill>
      <x:patternFill patternType="solid">
        <x:fgColor rgb="FFEFF3F8"/>
      </x:patternFill>
    </x:fill>
  </x:fills>
  <x:borders count="3">
    <x:border>
      <x:left/>
      <x:right/>
      <x:top/>
      <x:bottom/>
      <x:diagonal/>
    </x:border>
    <x:border>
      <x:left/>
      <x:right/>
      <x:top/>
      <x:bottom style="thin">
        <x:color rgb="FF9BACBF"/>
      </x:bottom>
      <x:diagonal/>
    </x:border>
    <x:border>
      <x:left/>
      <x:right/>
      <x:top style="thin">
        <x:color rgb="FF9BACBF"/>
      </x:top>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200" fontId="1" fillId="3"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2" xfId="0" applyNumberFormat="1" applyFont="1" applyFill="1" applyBorder="1" applyAlignment="1">
      <x:alignment vertical="center"/>
    </x:xf>
    <x:xf numFmtId="200" fontId="1" fillId="0" borderId="2" xfId="0" applyNumberFormat="1" applyFont="1" applyFill="1" applyBorder="1" applyAlignment="1">
      <x:alignment vertical="center"/>
    </x:xf>
    <x:xf numFmtId="201" fontId="1" fillId="0" borderId="2" xfId="0" applyNumberFormat="1" applyFont="1" applyFill="1" applyBorder="1" applyAlignment="1">
      <x:alignment vertical="center"/>
    </x:xf>
    <x:xf numFmtId="0" fontId="5" fillId="0" borderId="2" xfId="0" applyNumberFormat="1" applyFont="1" applyFill="1" applyBorder="1" applyAlignment="1">
      <x:alignment vertical="center"/>
    </x:xf>
    <x:xf numFmtId="200" fontId="5" fillId="0" borderId="2" xfId="0" applyNumberFormat="1" applyFont="1" applyFill="1" applyBorder="1" applyAlignment="1">
      <x:alignment vertical="center"/>
    </x:xf>
    <x:xf numFmtId="201" fontId="5" fillId="0" borderId="2"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1"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7" borderId="0" xfId="0" applyNumberFormat="1" applyFont="1" applyFill="1" applyBorder="1" applyAlignment="1">
      <x:alignment vertical="top" wrapText="1"/>
    </x:xf>
  </x:cellXfs>
  <x:cellStyles count="1">
    <x:cellStyle name="Normal" xfId="0"/>
  </x:cellStyles>
  <x:dxfs count="2">
    <x:dxf>
      <x:font>
        <x:b/>
        <x:color rgb="FF9B1C1C"/>
      </x:font>
      <x:fill>
        <x:patternFill>
          <x:bgColor rgb="FFFDE2E2"/>
        </x:patternFill>
      </x:fill>
    </x:dxf>
    <x:dxf>
      <x:font>
        <x:b/>
        <x:color rgb="FF9B1C1C"/>
      </x:font>
      <x:fill>
        <x:patternFill>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482ac243234852" /><Relationship Type="http://schemas.openxmlformats.org/officeDocument/2006/relationships/theme" Target="/xl/theme/theme1.xml" Id="Rf0f70366b1a8438b" /><Relationship Type="http://schemas.openxmlformats.org/officeDocument/2006/relationships/sharedStrings" Target="/xl/sharedStrings.xml" Id="R55c74079bf2a4d2f" /><Relationship Type="http://schemas.openxmlformats.org/officeDocument/2006/relationships/worksheet" Target="/xl/worksheets/sheet1.xml" Id="R4ceedc059cd44e92" /><Relationship Type="http://schemas.openxmlformats.org/officeDocument/2006/relationships/worksheet" Target="/xl/worksheets/sheet2.xml" Id="R577a3125f7dd4828" /><Relationship Type="http://schemas.openxmlformats.org/officeDocument/2006/relationships/worksheet" Target="/xl/worksheets/sheet3.xml" Id="R1ef6dc62b8fb4683" /></Relationships>
</file>

<file path=xl/tables/table1.xml><?xml version="1.0" encoding="utf-8"?>
<x:table xmlns:x="http://schemas.openxmlformats.org/spreadsheetml/2006/main" id="1" name="BenchmarkQuestions" displayName="BenchmarkQuestions" ref="A6:N206" headerRowCount="1" totalsRowCount="0" totalsRowShown="0">
  <x:tableColumns count="14">
    <x:tableColumn id="1" name="ID"/>
    <x:tableColumn id="2" name="Category"/>
    <x:tableColumn id="3" name="Capability"/>
    <x:tableColumn id="4" name="Question"/>
    <x:tableColumn id="5" name="Reference answer / scoring elements"/>
    <x:tableColumn id="6" name="Max points"/>
    <x:tableColumn id="7" name="Content points earned"/>
    <x:tableColumn id="8" name="Evidence credit (0/1)"/>
    <x:tableColumn id="9" name="System answer"/>
    <x:tableColumn id="10" name="System evidence / grader notes"/>
    <x:tableColumn id="11" name="Source location"/>
    <x:tableColumn id="12" name="Claim status"/>
    <x:tableColumn id="13" name="Evidence IDs"/>
    <x:tableColumn id="14" name="Input tra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ab95680649477a" /></Relationships>
</file>

<file path=xl/worksheets/sheet1.xml><?xml version="1.0" encoding="utf-8"?>
<x:worksheet xmlns:x="http://schemas.openxmlformats.org/spreadsheetml/2006/main">
  <x:sheetPr>
    <x:tabColor rgb="FF243B5A"/>
  </x:sheetPr>
  <x:sheetViews>
    <x:sheetView showGridLines="0" workbookViewId="0"/>
  </x:sheetViews>
  <x:sheetFormatPr defaultRowHeight="15"/>
  <x:cols>
    <x:col min="1" max="1" width="32" hidden="0" customWidth="1"/>
    <x:col min="2" max="2" width="16" hidden="0" customWidth="1"/>
    <x:col min="3" max="3" width="15" hidden="0" customWidth="1"/>
    <x:col min="4" max="4" width="32" hidden="0" customWidth="1"/>
    <x:col min="5" max="5" width="17" hidden="0" customWidth="1"/>
    <x:col min="6" max="6" width="17" hidden="0" customWidth="1"/>
  </x:cols>
  <x:sheetData>
    <x:row r="1">
      <x:c r="A1" s="2"/>
      <x:c r="B1" s="2"/>
      <x:c r="C1" s="2"/>
      <x:c r="D1" s="2"/>
      <x:c r="E1" s="2"/>
      <x:c r="F1" s="2"/>
    </x:row>
    <x:row r="2" ht="27" customHeight="1">
      <x:c r="A2" s="3" t="str">
        <x:v>Extraction benchmark | Scorecard</x:v>
      </x:c>
      <x:c r="B2" s="2"/>
      <x:c r="C2" s="2"/>
      <x:c r="D2" s="2"/>
      <x:c r="E2" s="2"/>
      <x:c r="F2" s="2"/>
    </x:row>
    <x:row r="3">
      <x:c r="A3" s="4"/>
      <x:c r="B3" s="4"/>
      <x:c r="C3" s="4"/>
      <x:c r="D3" s="4"/>
      <x:c r="E3" s="4"/>
      <x:c r="F3" s="4"/>
    </x:row>
    <x:row r="4">
      <x:c r="A4" s="2" t="str">
        <x:v>Questions</x:v>
      </x:c>
      <x:c r="B4" s="25" t="n">
        <x:f>COUNTA('Questions'!A7:A206)</x:f>
        <x:v>200</x:v>
      </x:c>
      <x:c r="C4" s="2"/>
      <x:c r="D4" s="2" t="str">
        <x:v>Full-suite content score</x:v>
      </x:c>
      <x:c r="E4" s="26" t="n">
        <x:f>SUM('Questions'!G7:G206)/B5</x:f>
        <x:v>0</x:v>
      </x:c>
      <x:c r="F4" s="2"/>
    </x:row>
    <x:row r="5">
      <x:c r="A5" s="2" t="str">
        <x:v>Content points available</x:v>
      </x:c>
      <x:c r="B5" s="25" t="n">
        <x:f>SUM('Questions'!F7:F206)</x:f>
        <x:v>405</x:v>
      </x:c>
      <x:c r="C5" s="2"/>
      <x:c r="D5" s="2" t="str">
        <x:v>Category macro average</x:v>
      </x:c>
      <x:c r="E5" s="26" t="n">
        <x:f>AVERAGE(F15:F26)</x:f>
        <x:v>0</x:v>
      </x:c>
      <x:c r="F5" s="2"/>
    </x:row>
    <x:row r="6">
      <x:c r="A6" s="2" t="str">
        <x:v>Content items graded</x:v>
      </x:c>
      <x:c r="B6" s="25" t="n">
        <x:f>COUNT('Questions'!G7:G206)</x:f>
        <x:v>0</x:v>
      </x:c>
      <x:c r="C6" s="2"/>
      <x:c r="D6" s="2" t="str">
        <x:v>Full-suite evidence score</x:v>
      </x:c>
      <x:c r="E6" s="26" t="n">
        <x:f>SUM('Questions'!H7:H206)/B4</x:f>
        <x:v>0</x:v>
      </x:c>
      <x:c r="F6" s="2"/>
    </x:row>
    <x:row r="7">
      <x:c r="A7" s="2" t="str">
        <x:v>Content grading coverage</x:v>
      </x:c>
      <x:c r="B7" s="26" t="n">
        <x:f>B6/B4</x:f>
        <x:v>0</x:v>
      </x:c>
      <x:c r="C7" s="2"/>
      <x:c r="D7" s="2" t="str">
        <x:v>Evidence grading coverage</x:v>
      </x:c>
      <x:c r="E7" s="26" t="n">
        <x:f>B8/B4</x:f>
        <x:v>0</x:v>
      </x:c>
      <x:c r="F7" s="2"/>
    </x:row>
    <x:row r="8">
      <x:c r="A8" s="2" t="str">
        <x:v>Evidence items graded</x:v>
      </x:c>
      <x:c r="B8" s="25" t="n">
        <x:f>COUNT('Questions'!H7:H206)</x:f>
        <x:v>0</x:v>
      </x:c>
      <x:c r="C8" s="2"/>
      <x:c r="D8" s="2"/>
      <x:c r="E8" s="2"/>
      <x:c r="F8" s="2"/>
    </x:row>
    <x:row r="9">
      <x:c r="A9" s="2" t="str">
        <x:v>Grading status</x:v>
      </x:c>
      <x:c r="B9" s="25" t="str">
        <x:f>IF(B6=0,"Not started",IF(B6&lt;B4,"Partial","Complete"))</x:f>
        <x:v>Not started</x:v>
      </x:c>
      <x:c r="C9" s="2"/>
      <x:c r="D9" s="2"/>
      <x:c r="E9" s="2"/>
      <x:c r="F9" s="2"/>
    </x:row>
    <x:row r="10">
      <x:c r="A10" s="2"/>
      <x:c r="B10" s="2"/>
      <x:c r="C10" s="2"/>
      <x:c r="D10" s="2"/>
      <x:c r="E10" s="2"/>
      <x:c r="F10" s="2"/>
    </x:row>
    <x:row r="11">
      <x:c r="A11" s="5" t="str">
        <x:v>Fixed suite: ungraded questions contribute zero; report grading coverage with every score.</x:v>
      </x:c>
      <x:c r="B11" s="5"/>
      <x:c r="C11" s="5"/>
      <x:c r="D11" s="5"/>
      <x:c r="E11" s="5"/>
      <x:c r="F11" s="5"/>
    </x:row>
    <x:row r="12">
      <x:c r="A12" s="5" t="str">
        <x:v>One correct numbered answer element = one content point. Evidence is scored separately.</x:v>
      </x:c>
      <x:c r="B12" s="5"/>
      <x:c r="C12" s="5"/>
      <x:c r="D12" s="5"/>
      <x:c r="E12" s="5"/>
      <x:c r="F12" s="5"/>
    </x:row>
    <x:row r="13">
      <x:c r="A13" s="2"/>
      <x:c r="B13" s="2"/>
      <x:c r="C13" s="2"/>
      <x:c r="D13" s="2"/>
      <x:c r="E13" s="2"/>
      <x:c r="F13" s="2"/>
    </x:row>
    <x:row r="14" ht="32" customHeight="1">
      <x:c r="A14" s="13" t="str">
        <x:v>Category</x:v>
      </x:c>
      <x:c r="B14" s="13" t="str">
        <x:v>Questions</x:v>
      </x:c>
      <x:c r="C14" s="13" t="str">
        <x:v>Max points</x:v>
      </x:c>
      <x:c r="D14" s="13" t="str">
        <x:v>Content earned</x:v>
      </x:c>
      <x:c r="E14" s="13" t="str">
        <x:v>Evidence earned</x:v>
      </x:c>
      <x:c r="F14" s="13" t="str">
        <x:v>Content score</x:v>
      </x:c>
    </x:row>
    <x:row r="15" ht="26" customHeight="1">
      <x:c r="A15" s="2" t="str">
        <x:v>Metadata</x:v>
      </x:c>
      <x:c r="B15" s="17" t="n">
        <x:f>COUNTIFS('Questions'!$B$7:$B$206,A15)</x:f>
        <x:v>10</x:v>
      </x:c>
      <x:c r="C15" s="17" t="n">
        <x:f>SUMIFS('Questions'!$F$7:$F$206,'Questions'!$B$7:$B$206,A15)</x:f>
        <x:v>21</x:v>
      </x:c>
      <x:c r="D15" s="17" t="n">
        <x:f>SUMIFS('Questions'!$G$7:$G$206,'Questions'!$B$7:$B$206,A15)</x:f>
        <x:v>0</x:v>
      </x:c>
      <x:c r="E15" s="17" t="n">
        <x:f>SUMIFS('Questions'!$H$7:$H$206,'Questions'!$B$7:$B$206,A15)</x:f>
        <x:v>0</x:v>
      </x:c>
      <x:c r="F15" s="16" t="n">
        <x:f>D15/C15</x:f>
        <x:v>0</x:v>
      </x:c>
    </x:row>
    <x:row r="16" ht="26" customHeight="1">
      <x:c r="A16" s="2" t="str">
        <x:v>Context</x:v>
      </x:c>
      <x:c r="B16" s="17" t="n">
        <x:f>COUNTIFS('Questions'!$B$7:$B$206,A16)</x:f>
        <x:v>10</x:v>
      </x:c>
      <x:c r="C16" s="17" t="n">
        <x:f>SUMIFS('Questions'!$F$7:$F$206,'Questions'!$B$7:$B$206,A16)</x:f>
        <x:v>23</x:v>
      </x:c>
      <x:c r="D16" s="17" t="n">
        <x:f>SUMIFS('Questions'!$G$7:$G$206,'Questions'!$B$7:$B$206,A16)</x:f>
        <x:v>0</x:v>
      </x:c>
      <x:c r="E16" s="17" t="n">
        <x:f>SUMIFS('Questions'!$H$7:$H$206,'Questions'!$B$7:$B$206,A16)</x:f>
        <x:v>0</x:v>
      </x:c>
      <x:c r="F16" s="16" t="n">
        <x:f>D16/C16</x:f>
        <x:v>0</x:v>
      </x:c>
    </x:row>
    <x:row r="17" ht="26" customHeight="1">
      <x:c r="A17" s="2" t="str">
        <x:v>Biogenesis</x:v>
      </x:c>
      <x:c r="B17" s="17" t="n">
        <x:f>COUNTIFS('Questions'!$B$7:$B$206,A17)</x:f>
        <x:v>16</x:v>
      </x:c>
      <x:c r="C17" s="17" t="n">
        <x:f>SUMIFS('Questions'!$F$7:$F$206,'Questions'!$B$7:$B$206,A17)</x:f>
        <x:v>29</x:v>
      </x:c>
      <x:c r="D17" s="17" t="n">
        <x:f>SUMIFS('Questions'!$G$7:$G$206,'Questions'!$B$7:$B$206,A17)</x:f>
        <x:v>0</x:v>
      </x:c>
      <x:c r="E17" s="17" t="n">
        <x:f>SUMIFS('Questions'!$H$7:$H$206,'Questions'!$B$7:$B$206,A17)</x:f>
        <x:v>0</x:v>
      </x:c>
      <x:c r="F17" s="16" t="n">
        <x:f>D17/C17</x:f>
        <x:v>0</x:v>
      </x:c>
    </x:row>
    <x:row r="18" ht="26" customHeight="1">
      <x:c r="A18" s="2" t="str">
        <x:v>Transport</x:v>
      </x:c>
      <x:c r="B18" s="17" t="n">
        <x:f>COUNTIFS('Questions'!$B$7:$B$206,A18)</x:f>
        <x:v>17</x:v>
      </x:c>
      <x:c r="C18" s="17" t="n">
        <x:f>SUMIFS('Questions'!$F$7:$F$206,'Questions'!$B$7:$B$206,A18)</x:f>
        <x:v>29</x:v>
      </x:c>
      <x:c r="D18" s="17" t="n">
        <x:f>SUMIFS('Questions'!$G$7:$G$206,'Questions'!$B$7:$B$206,A18)</x:f>
        <x:v>0</x:v>
      </x:c>
      <x:c r="E18" s="17" t="n">
        <x:f>SUMIFS('Questions'!$H$7:$H$206,'Questions'!$B$7:$B$206,A18)</x:f>
        <x:v>0</x:v>
      </x:c>
      <x:c r="F18" s="16" t="n">
        <x:f>D18/C18</x:f>
        <x:v>0</x:v>
      </x:c>
    </x:row>
    <x:row r="19" ht="26" customHeight="1">
      <x:c r="A19" s="2" t="str">
        <x:v>Motors</x:v>
      </x:c>
      <x:c r="B19" s="17" t="n">
        <x:f>COUNTIFS('Questions'!$B$7:$B$206,A19)</x:f>
        <x:v>18</x:v>
      </x:c>
      <x:c r="C19" s="17" t="n">
        <x:f>SUMIFS('Questions'!$F$7:$F$206,'Questions'!$B$7:$B$206,A19)</x:f>
        <x:v>36</x:v>
      </x:c>
      <x:c r="D19" s="17" t="n">
        <x:f>SUMIFS('Questions'!$G$7:$G$206,'Questions'!$B$7:$B$206,A19)</x:f>
        <x:v>0</x:v>
      </x:c>
      <x:c r="E19" s="17" t="n">
        <x:f>SUMIFS('Questions'!$H$7:$H$206,'Questions'!$B$7:$B$206,A19)</x:f>
        <x:v>0</x:v>
      </x:c>
      <x:c r="F19" s="16" t="n">
        <x:f>D19/C19</x:f>
        <x:v>0</x:v>
      </x:c>
    </x:row>
    <x:row r="20" ht="26" customHeight="1">
      <x:c r="A20" s="2" t="str">
        <x:v>Cargo</x:v>
      </x:c>
      <x:c r="B20" s="17" t="n">
        <x:f>COUNTIFS('Questions'!$B$7:$B$206,A20)</x:f>
        <x:v>16</x:v>
      </x:c>
      <x:c r="C20" s="17" t="n">
        <x:f>SUMIFS('Questions'!$F$7:$F$206,'Questions'!$B$7:$B$206,A20)</x:f>
        <x:v>27</x:v>
      </x:c>
      <x:c r="D20" s="17" t="n">
        <x:f>SUMIFS('Questions'!$G$7:$G$206,'Questions'!$B$7:$B$206,A20)</x:f>
        <x:v>0</x:v>
      </x:c>
      <x:c r="E20" s="17" t="n">
        <x:f>SUMIFS('Questions'!$H$7:$H$206,'Questions'!$B$7:$B$206,A20)</x:f>
        <x:v>0</x:v>
      </x:c>
      <x:c r="F20" s="16" t="n">
        <x:f>D20/C20</x:f>
        <x:v>0</x:v>
      </x:c>
    </x:row>
    <x:row r="21" ht="26" customHeight="1">
      <x:c r="A21" s="2" t="str">
        <x:v>Disease model</x:v>
      </x:c>
      <x:c r="B21" s="17" t="n">
        <x:f>COUNTIFS('Questions'!$B$7:$B$206,A21)</x:f>
        <x:v>13</x:v>
      </x:c>
      <x:c r="C21" s="17" t="n">
        <x:f>SUMIFS('Questions'!$F$7:$F$206,'Questions'!$B$7:$B$206,A21)</x:f>
        <x:v>24</x:v>
      </x:c>
      <x:c r="D21" s="17" t="n">
        <x:f>SUMIFS('Questions'!$G$7:$G$206,'Questions'!$B$7:$B$206,A21)</x:f>
        <x:v>0</x:v>
      </x:c>
      <x:c r="E21" s="17" t="n">
        <x:f>SUMIFS('Questions'!$H$7:$H$206,'Questions'!$B$7:$B$206,A21)</x:f>
        <x:v>0</x:v>
      </x:c>
      <x:c r="F21" s="16" t="n">
        <x:f>D21/C21</x:f>
        <x:v>0</x:v>
      </x:c>
    </x:row>
    <x:row r="22" ht="26" customHeight="1">
      <x:c r="A22" s="2" t="str">
        <x:v>Maturation</x:v>
      </x:c>
      <x:c r="B22" s="17" t="n">
        <x:f>COUNTIFS('Questions'!$B$7:$B$206,A22)</x:f>
        <x:v>20</x:v>
      </x:c>
      <x:c r="C22" s="17" t="n">
        <x:f>SUMIFS('Questions'!$F$7:$F$206,'Questions'!$B$7:$B$206,A22)</x:f>
        <x:v>37</x:v>
      </x:c>
      <x:c r="D22" s="17" t="n">
        <x:f>SUMIFS('Questions'!$G$7:$G$206,'Questions'!$B$7:$B$206,A22)</x:f>
        <x:v>0</x:v>
      </x:c>
      <x:c r="E22" s="17" t="n">
        <x:f>SUMIFS('Questions'!$H$7:$H$206,'Questions'!$B$7:$B$206,A22)</x:f>
        <x:v>0</x:v>
      </x:c>
      <x:c r="F22" s="16" t="n">
        <x:f>D22/C22</x:f>
        <x:v>0</x:v>
      </x:c>
    </x:row>
    <x:row r="23" ht="26" customHeight="1">
      <x:c r="A23" s="2" t="str">
        <x:v>Methods</x:v>
      </x:c>
      <x:c r="B23" s="17" t="n">
        <x:f>COUNTIFS('Questions'!$B$7:$B$206,A23)</x:f>
        <x:v>35</x:v>
      </x:c>
      <x:c r="C23" s="17" t="n">
        <x:f>SUMIFS('Questions'!$F$7:$F$206,'Questions'!$B$7:$B$206,A23)</x:f>
        <x:v>77</x:v>
      </x:c>
      <x:c r="D23" s="17" t="n">
        <x:f>SUMIFS('Questions'!$G$7:$G$206,'Questions'!$B$7:$B$206,A23)</x:f>
        <x:v>0</x:v>
      </x:c>
      <x:c r="E23" s="17" t="n">
        <x:f>SUMIFS('Questions'!$H$7:$H$206,'Questions'!$B$7:$B$206,A23)</x:f>
        <x:v>0</x:v>
      </x:c>
      <x:c r="F23" s="16" t="n">
        <x:f>D23/C23</x:f>
        <x:v>0</x:v>
      </x:c>
    </x:row>
    <x:row r="24" ht="26" customHeight="1">
      <x:c r="A24" s="2" t="str">
        <x:v>Supplement</x:v>
      </x:c>
      <x:c r="B24" s="17" t="n">
        <x:f>COUNTIFS('Questions'!$B$7:$B$206,A24)</x:f>
        <x:v>15</x:v>
      </x:c>
      <x:c r="C24" s="17" t="n">
        <x:f>SUMIFS('Questions'!$F$7:$F$206,'Questions'!$B$7:$B$206,A24)</x:f>
        <x:v>32</x:v>
      </x:c>
      <x:c r="D24" s="17" t="n">
        <x:f>SUMIFS('Questions'!$G$7:$G$206,'Questions'!$B$7:$B$206,A24)</x:f>
        <x:v>0</x:v>
      </x:c>
      <x:c r="E24" s="17" t="n">
        <x:f>SUMIFS('Questions'!$H$7:$H$206,'Questions'!$B$7:$B$206,A24)</x:f>
        <x:v>0</x:v>
      </x:c>
      <x:c r="F24" s="16" t="n">
        <x:f>D24/C24</x:f>
        <x:v>0</x:v>
      </x:c>
    </x:row>
    <x:row r="25" ht="26" customHeight="1">
      <x:c r="A25" s="2" t="str">
        <x:v>Synthesis</x:v>
      </x:c>
      <x:c r="B25" s="17" t="n">
        <x:f>COUNTIFS('Questions'!$B$7:$B$206,A25)</x:f>
        <x:v>15</x:v>
      </x:c>
      <x:c r="C25" s="17" t="n">
        <x:f>SUMIFS('Questions'!$F$7:$F$206,'Questions'!$B$7:$B$206,A25)</x:f>
        <x:v>42</x:v>
      </x:c>
      <x:c r="D25" s="17" t="n">
        <x:f>SUMIFS('Questions'!$G$7:$G$206,'Questions'!$B$7:$B$206,A25)</x:f>
        <x:v>0</x:v>
      </x:c>
      <x:c r="E25" s="17" t="n">
        <x:f>SUMIFS('Questions'!$H$7:$H$206,'Questions'!$B$7:$B$206,A25)</x:f>
        <x:v>0</x:v>
      </x:c>
      <x:c r="F25" s="16" t="n">
        <x:f>D25/C25</x:f>
        <x:v>0</x:v>
      </x:c>
    </x:row>
    <x:row r="26" ht="26" customHeight="1">
      <x:c r="A26" s="2" t="str">
        <x:v>Unanswerable</x:v>
      </x:c>
      <x:c r="B26" s="17" t="n">
        <x:f>COUNTIFS('Questions'!$B$7:$B$206,A26)</x:f>
        <x:v>15</x:v>
      </x:c>
      <x:c r="C26" s="17" t="n">
        <x:f>SUMIFS('Questions'!$F$7:$F$206,'Questions'!$B$7:$B$206,A26)</x:f>
        <x:v>28</x:v>
      </x:c>
      <x:c r="D26" s="17" t="n">
        <x:f>SUMIFS('Questions'!$G$7:$G$206,'Questions'!$B$7:$B$206,A26)</x:f>
        <x:v>0</x:v>
      </x:c>
      <x:c r="E26" s="17" t="n">
        <x:f>SUMIFS('Questions'!$H$7:$H$206,'Questions'!$B$7:$B$206,A26)</x:f>
        <x:v>0</x:v>
      </x:c>
      <x:c r="F26" s="16" t="n">
        <x:f>D26/C26</x:f>
        <x:v>0</x:v>
      </x:c>
    </x:row>
    <x:row r="27">
      <x:c r="A27" s="2"/>
      <x:c r="B27" s="17"/>
      <x:c r="C27" s="17"/>
      <x:c r="D27" s="17"/>
      <x:c r="E27" s="17"/>
      <x:c r="F27" s="16"/>
    </x:row>
    <x:row r="28">
      <x:c r="A28" s="21" t="str">
        <x:v>Total</x:v>
      </x:c>
      <x:c r="B28" s="22" t="n">
        <x:f>SUM(B15:B26)</x:f>
        <x:v>200</x:v>
      </x:c>
      <x:c r="C28" s="22" t="n">
        <x:f>SUM(C15:C26)</x:f>
        <x:v>405</x:v>
      </x:c>
      <x:c r="D28" s="22" t="n">
        <x:f>SUM(D15:D26)</x:f>
        <x:v>0</x:v>
      </x:c>
      <x:c r="E28" s="22" t="n">
        <x:f>SUM(E15:E26)</x:f>
        <x:v>0</x:v>
      </x:c>
      <x:c r="F28" s="23" t="n">
        <x:f>D28/C28</x:f>
        <x:v>0</x:v>
      </x:c>
    </x:row>
    <x:row r="29">
      <x:c r="A29" s="2"/>
      <x:c r="B29" s="2"/>
      <x:c r="C29" s="2"/>
      <x:c r="D29" s="2"/>
      <x:c r="E29" s="2"/>
      <x:c r="F29" s="2"/>
    </x:row>
    <x:row r="30">
      <x:c r="A30" s="24" t="str">
        <x:v>Separate diagnostics: 15 synthesis questions and 15 abstention questions.</x:v>
      </x:c>
      <x:c r="B30" s="24"/>
      <x:c r="C30" s="24"/>
      <x:c r="D30" s="24"/>
      <x:c r="E30" s="24"/>
      <x:c r="F30" s="24"/>
    </x:row>
    <x:row r="31">
      <x:c r="A31" s="24" t="str">
        <x:v>Use Questions filters to review categories, evidence status or the input-corpus track.</x:v>
      </x:c>
      <x:c r="B31" s="24"/>
      <x:c r="C31" s="24"/>
      <x:c r="D31" s="24"/>
      <x:c r="E31" s="24"/>
      <x:c r="F31" s="24"/>
    </x:row>
    <x:row r="32">
      <x:c r="A32" s="24" t="str">
        <x:v>Amber cells are editable: system output, content points, evidence credit and grader notes.</x:v>
      </x:c>
      <x:c r="B32" s="24"/>
      <x:c r="C32" s="24"/>
      <x:c r="D32" s="24"/>
      <x:c r="E32" s="24"/>
      <x:c r="F32" s="24"/>
    </x:row>
    <x:row r="33">
      <x:c r="A33" s="24" t="str">
        <x:v>The workbook contains reference answers; keep it outside the system’s indexed corpus.</x:v>
      </x:c>
      <x:c r="B33" s="24"/>
      <x:c r="C33" s="24"/>
      <x:c r="D33" s="24"/>
      <x:c r="E33" s="24"/>
      <x:c r="F33" s="24"/>
    </x:row>
    <x:row r="34">
      <x:c r="A34" s="2"/>
      <x:c r="B34" s="2"/>
      <x:c r="C34" s="2"/>
      <x:c r="D34" s="2"/>
      <x:c r="E34" s="2"/>
      <x:c r="F34" s="2"/>
    </x:row>
  </x:sheetData>
  <x:pageMargins left="0.7" right="0.7" top="0.75" bottom="0.75" header="0.3" footer="0.3"/>
</x:worksheet>
</file>

<file path=xl/worksheets/sheet2.xml><?xml version="1.0" encoding="utf-8"?>
<x:worksheet xmlns:x="http://schemas.openxmlformats.org/spreadsheetml/2006/main">
  <x:sheetPr>
    <x:tabColor rgb="FF385C86"/>
  </x:sheetPr>
  <x:sheetViews>
    <x:sheetView showGridLines="0" workbookViewId="0">
      <x:pane xSplit="1" ySplit="6" topLeftCell="B7" activePane="bottomRight" state="frozen"/>
    </x:sheetView>
  </x:sheetViews>
  <x:sheetFormatPr defaultRowHeight="15"/>
  <x:cols>
    <x:col min="1" max="1" width="9" hidden="0" customWidth="1"/>
    <x:col min="2" max="2" width="20" hidden="0" customWidth="1"/>
    <x:col min="3" max="3" width="16" hidden="0" customWidth="1"/>
    <x:col min="4" max="4" width="62" hidden="0" customWidth="1"/>
    <x:col min="5" max="5" width="84" hidden="0" customWidth="1"/>
    <x:col min="6" max="6" width="11" hidden="0" customWidth="1"/>
    <x:col min="7" max="7" width="13" hidden="0" customWidth="1"/>
    <x:col min="8" max="8" width="14" hidden="0" customWidth="1"/>
    <x:col min="9" max="9" width="75" hidden="0" customWidth="1"/>
    <x:col min="10" max="10" width="56" hidden="0" customWidth="1"/>
    <x:col min="11" max="11" width="58" hidden="0" customWidth="1"/>
    <x:col min="12" max="12" width="21" hidden="0" customWidth="1"/>
    <x:col min="13" max="13" width="21" hidden="0" customWidth="1"/>
    <x:col min="14" max="14" width="21" hidden="0" customWidth="1"/>
  </x:cols>
  <x:sheetData>
    <x:row r="1">
      <x:c r="A1" s="2"/>
      <x:c r="B1" s="2"/>
      <x:c r="C1" s="2"/>
      <x:c r="D1" s="2"/>
      <x:c r="E1" s="2"/>
      <x:c r="F1" s="2"/>
      <x:c r="G1" s="2"/>
      <x:c r="H1" s="2"/>
      <x:c r="I1" s="2"/>
      <x:c r="J1" s="2"/>
      <x:c r="K1" s="2"/>
      <x:c r="L1" s="2"/>
      <x:c r="M1" s="2"/>
      <x:c r="N1" s="2"/>
    </x:row>
    <x:row r="2" ht="27" customHeight="1">
      <x:c r="A2" s="3" t="str">
        <x:v>Knowledge extraction | PMC3283992</x:v>
      </x:c>
      <x:c r="B2" s="2"/>
      <x:c r="C2" s="2"/>
      <x:c r="D2" s="2"/>
      <x:c r="E2" s="2"/>
      <x:c r="F2" s="2"/>
      <x:c r="G2" s="2"/>
      <x:c r="H2" s="2"/>
      <x:c r="I2" s="2"/>
      <x:c r="J2" s="2"/>
      <x:c r="K2" s="2"/>
      <x:c r="L2" s="2"/>
      <x:c r="M2" s="2"/>
      <x:c r="N2" s="2"/>
    </x:row>
    <x:row r="3">
      <x:c r="A3" s="4"/>
      <x:c r="B3" s="4"/>
      <x:c r="C3" s="4"/>
      <x:c r="D3" s="4"/>
      <x:c r="E3" s="4"/>
      <x:c r="F3" s="4"/>
      <x:c r="G3" s="4"/>
      <x:c r="H3" s="4"/>
      <x:c r="I3" s="4"/>
      <x:c r="J3" s="4"/>
      <x:c r="K3" s="4"/>
      <x:c r="L3" s="4"/>
      <x:c r="M3" s="4"/>
      <x:c r="N3" s="4"/>
    </x:row>
    <x:row r="4">
      <x:c r="A4" s="5" t="str">
        <x:v>200 questions • One point per numbered reference element • Enter grades in amber cells</x:v>
      </x:c>
      <x:c r="B4" s="2"/>
      <x:c r="C4" s="2"/>
      <x:c r="D4" s="2"/>
      <x:c r="E4" s="2"/>
      <x:c r="F4" s="2"/>
      <x:c r="G4" s="2"/>
      <x:c r="H4" s="2"/>
      <x:c r="I4" s="2"/>
      <x:c r="J4" s="2"/>
      <x:c r="K4" s="2"/>
      <x:c r="L4" s="2"/>
      <x:c r="M4" s="2"/>
      <x:c r="N4" s="2"/>
    </x:row>
    <x:row r="5">
      <x:c r="A5" s="2" t="str">
        <x:v>Sources and scoring protocol: Guide tab. XML+supplement is the complete-corpus track.</x:v>
      </x:c>
      <x:c r="B5" s="2"/>
      <x:c r="C5" s="2"/>
      <x:c r="D5" s="2"/>
      <x:c r="E5" s="2"/>
      <x:c r="F5" s="2"/>
      <x:c r="G5" s="2"/>
      <x:c r="H5" s="2"/>
      <x:c r="I5" s="2"/>
      <x:c r="J5" s="2"/>
      <x:c r="K5" s="2"/>
      <x:c r="L5" s="2"/>
      <x:c r="M5" s="2"/>
      <x:c r="N5" s="2"/>
    </x:row>
    <x:row r="6" ht="32" customHeight="1">
      <x:c r="A6" s="13" t="str">
        <x:v>ID</x:v>
      </x:c>
      <x:c r="B6" s="13" t="str">
        <x:v>Category</x:v>
      </x:c>
      <x:c r="C6" s="13" t="str">
        <x:v>Capability</x:v>
      </x:c>
      <x:c r="D6" s="13" t="str">
        <x:v>Question</x:v>
      </x:c>
      <x:c r="E6" s="13" t="str">
        <x:v>Reference answer / scoring elements</x:v>
      </x:c>
      <x:c r="F6" s="13" t="str">
        <x:v>Max points</x:v>
      </x:c>
      <x:c r="G6" s="13" t="str">
        <x:v>Content points earned</x:v>
      </x:c>
      <x:c r="H6" s="13" t="str">
        <x:v>Evidence credit (0/1)</x:v>
      </x:c>
      <x:c r="I6" s="13" t="str">
        <x:v>System answer</x:v>
      </x:c>
      <x:c r="J6" s="13" t="str">
        <x:v>System evidence / grader notes</x:v>
      </x:c>
      <x:c r="K6" s="13" t="str">
        <x:v>Source location</x:v>
      </x:c>
      <x:c r="L6" s="13" t="str">
        <x:v>Claim status</x:v>
      </x:c>
      <x:c r="M6" s="13" t="str">
        <x:v>Evidence IDs</x:v>
      </x:c>
      <x:c r="N6" s="13" t="str">
        <x:v>Input track</x:v>
      </x:c>
    </x:row>
    <x:row r="7" ht="54" customHeight="1">
      <x:c r="A7" s="7" t="str">
        <x:v>Q001</x:v>
      </x:c>
      <x:c r="B7" s="7" t="str">
        <x:v>Metadata</x:v>
      </x:c>
      <x:c r="C7" s="7" t="str">
        <x:v>Entity</x:v>
      </x:c>
      <x:c r="D7" s="7" t="str">
        <x:v>What is the full title of the study?</x:v>
      </x:c>
      <x:c r="E7" s="7" t="str">
        <x:v>1. Autophagosomes initiate distally and mature during transport toward the cell soma in primary neurons.</x:v>
      </x:c>
      <x:c r="F7" s="9" t="n">
        <x:v>1</x:v>
      </x:c>
      <x:c r="G7" s="14"/>
      <x:c r="H7" s="14"/>
      <x:c r="I7" s="15"/>
      <x:c r="J7" s="15"/>
      <x:c r="K7" s="7" t="str">
        <x:v>Article metadata</x:v>
      </x:c>
      <x:c r="L7" s="7" t="str">
        <x:v>Metadata</x:v>
      </x:c>
      <x:c r="M7" s="7" t="str">
        <x:v>M001</x:v>
      </x:c>
      <x:c r="N7" s="7" t="str">
        <x:v>XML</x:v>
      </x:c>
    </x:row>
    <x:row r="8" ht="54" customHeight="1">
      <x:c r="A8" s="7" t="str">
        <x:v>Q002</x:v>
      </x:c>
      <x:c r="B8" s="7" t="str">
        <x:v>Metadata</x:v>
      </x:c>
      <x:c r="C8" s="7" t="str">
        <x:v>Entity</x:v>
      </x:c>
      <x:c r="D8" s="7" t="str">
        <x:v>Who are the three authors, in publication order?</x:v>
      </x:c>
      <x:c r="E8" s="7" t="str">
        <x:v>1. Sandra Maday
2. Karen E. Wallace
3. Erika L.F. Holzbaur.</x:v>
      </x:c>
      <x:c r="F8" s="9" t="n">
        <x:v>3</x:v>
      </x:c>
      <x:c r="G8" s="14"/>
      <x:c r="H8" s="14"/>
      <x:c r="I8" s="15"/>
      <x:c r="J8" s="15"/>
      <x:c r="K8" s="7" t="str">
        <x:v>Author list</x:v>
      </x:c>
      <x:c r="L8" s="7" t="str">
        <x:v>Metadata</x:v>
      </x:c>
      <x:c r="M8" s="7" t="str">
        <x:v>M001</x:v>
      </x:c>
      <x:c r="N8" s="7" t="str">
        <x:v>XML</x:v>
      </x:c>
    </x:row>
    <x:row r="9" ht="54" customHeight="1">
      <x:c r="A9" s="7" t="str">
        <x:v>Q003</x:v>
      </x:c>
      <x:c r="B9" s="7" t="str">
        <x:v>Metadata</x:v>
      </x:c>
      <x:c r="C9" s="7" t="str">
        <x:v>Entity</x:v>
      </x:c>
      <x:c r="D9" s="7" t="str">
        <x:v>What journal, volume, issue and page range identify the article?</x:v>
      </x:c>
      <x:c r="E9" s="7" t="str">
        <x:v>1. The Journal of Cell Biology
2. Volume 196, issue 4
3. Pages 407–417.</x:v>
      </x:c>
      <x:c r="F9" s="9" t="n">
        <x:v>3</x:v>
      </x:c>
      <x:c r="G9" s="14"/>
      <x:c r="H9" s="14"/>
      <x:c r="I9" s="15"/>
      <x:c r="J9" s="15"/>
      <x:c r="K9" s="7" t="str">
        <x:v>Journal and article metadata</x:v>
      </x:c>
      <x:c r="L9" s="7" t="str">
        <x:v>Metadata</x:v>
      </x:c>
      <x:c r="M9" s="7" t="str">
        <x:v>M001, M002</x:v>
      </x:c>
      <x:c r="N9" s="7" t="str">
        <x:v>XML</x:v>
      </x:c>
    </x:row>
    <x:row r="10" ht="54" customHeight="1">
      <x:c r="A10" s="7" t="str">
        <x:v>Q004</x:v>
      </x:c>
      <x:c r="B10" s="7" t="str">
        <x:v>Metadata</x:v>
      </x:c>
      <x:c r="C10" s="7" t="str">
        <x:v>Entity</x:v>
      </x:c>
      <x:c r="D10" s="7" t="str">
        <x:v>What are the article's PMCID, PMID and DOI?</x:v>
      </x:c>
      <x:c r="E10" s="7" t="str">
        <x:v>1. PMCID PMC3283992
2. PMID 22331844
3. DOI 10.1083/jcb.201106120.</x:v>
      </x:c>
      <x:c r="F10" s="9" t="n">
        <x:v>3</x:v>
      </x:c>
      <x:c r="G10" s="14"/>
      <x:c r="H10" s="14"/>
      <x:c r="I10" s="15"/>
      <x:c r="J10" s="15"/>
      <x:c r="K10" s="7" t="str">
        <x:v>Article identifiers</x:v>
      </x:c>
      <x:c r="L10" s="7" t="str">
        <x:v>Metadata</x:v>
      </x:c>
      <x:c r="M10" s="7" t="str">
        <x:v>M001</x:v>
      </x:c>
      <x:c r="N10" s="7" t="str">
        <x:v>XML</x:v>
      </x:c>
    </x:row>
    <x:row r="11" ht="54" customHeight="1">
      <x:c r="A11" s="7" t="str">
        <x:v>Q005</x:v>
      </x:c>
      <x:c r="B11" s="7" t="str">
        <x:v>Metadata</x:v>
      </x:c>
      <x:c r="C11" s="7" t="str">
        <x:v>Context</x:v>
      </x:c>
      <x:c r="D11" s="7" t="str">
        <x:v>What is the print publication date, and when was the manuscript received and accepted?</x:v>
      </x:c>
      <x:c r="E11" s="7" t="str">
        <x:v>1. Print publication: 20 February 2012
2. Received: 21 June 2011
3. Accepted: 17 January 2012.</x:v>
      </x:c>
      <x:c r="F11" s="9" t="n">
        <x:v>3</x:v>
      </x:c>
      <x:c r="G11" s="14"/>
      <x:c r="H11" s="14"/>
      <x:c r="I11" s="15"/>
      <x:c r="J11" s="15"/>
      <x:c r="K11" s="7" t="str">
        <x:v>Publication date and history</x:v>
      </x:c>
      <x:c r="L11" s="7" t="str">
        <x:v>Metadata</x:v>
      </x:c>
      <x:c r="M11" s="7" t="str">
        <x:v>M001</x:v>
      </x:c>
      <x:c r="N11" s="7" t="str">
        <x:v>XML</x:v>
      </x:c>
    </x:row>
    <x:row r="12" ht="54" customHeight="1">
      <x:c r="A12" s="7" t="str">
        <x:v>Q006</x:v>
      </x:c>
      <x:c r="B12" s="7" t="str">
        <x:v>Metadata</x:v>
      </x:c>
      <x:c r="C12" s="7" t="str">
        <x:v>Relation</x:v>
      </x:c>
      <x:c r="D12" s="7" t="str">
        <x:v>What is the authors' institutional affiliation?</x:v>
      </x:c>
      <x:c r="E12" s="7" t="str">
        <x:v>1. Department of Physiology, Perelman School of Medicine
2. University of Pennsylvania, Philadelphia, PA 19104.</x:v>
      </x:c>
      <x:c r="F12" s="9" t="n">
        <x:v>2</x:v>
      </x:c>
      <x:c r="G12" s="14"/>
      <x:c r="H12" s="14"/>
      <x:c r="I12" s="15"/>
      <x:c r="J12" s="15"/>
      <x:c r="K12" s="7" t="str">
        <x:v>Affiliation</x:v>
      </x:c>
      <x:c r="L12" s="7" t="str">
        <x:v>Metadata</x:v>
      </x:c>
      <x:c r="M12" s="7" t="str">
        <x:v>M001</x:v>
      </x:c>
      <x:c r="N12" s="7" t="str">
        <x:v>XML</x:v>
      </x:c>
    </x:row>
    <x:row r="13" ht="54" customHeight="1">
      <x:c r="A13" s="7" t="str">
        <x:v>Q007</x:v>
      </x:c>
      <x:c r="B13" s="7" t="str">
        <x:v>Metadata</x:v>
      </x:c>
      <x:c r="C13" s="7" t="str">
        <x:v>Relation</x:v>
      </x:c>
      <x:c r="D13" s="7" t="str">
        <x:v>Who is the corresponding author?</x:v>
      </x:c>
      <x:c r="E13" s="7" t="str">
        <x:v>1. Erika L.F. Holzbaur.</x:v>
      </x:c>
      <x:c r="F13" s="9" t="n">
        <x:v>1</x:v>
      </x:c>
      <x:c r="G13" s="14"/>
      <x:c r="H13" s="14"/>
      <x:c r="I13" s="15"/>
      <x:c r="J13" s="15"/>
      <x:c r="K13" s="7" t="str">
        <x:v>Correspondence</x:v>
      </x:c>
      <x:c r="L13" s="7" t="str">
        <x:v>Metadata</x:v>
      </x:c>
      <x:c r="M13" s="7" t="str">
        <x:v>M001</x:v>
      </x:c>
      <x:c r="N13" s="7" t="str">
        <x:v>XML</x:v>
      </x:c>
    </x:row>
    <x:row r="14" ht="54" customHeight="1">
      <x:c r="A14" s="7" t="str">
        <x:v>Q008</x:v>
      </x:c>
      <x:c r="B14" s="7" t="str">
        <x:v>Metadata</x:v>
      </x:c>
      <x:c r="C14" s="7" t="str">
        <x:v>Provenance</x:v>
      </x:c>
      <x:c r="D14" s="7" t="str">
        <x:v>Which grant and investigator supported the work, according to the acknowledgments?</x:v>
      </x:c>
      <x:c r="E14" s="7" t="str">
        <x:v>1. National Institutes of Health grant NS060698
2. Awarded to E.L.F. Holzbaur.</x:v>
      </x:c>
      <x:c r="F14" s="9" t="n">
        <x:v>2</x:v>
      </x:c>
      <x:c r="G14" s="14"/>
      <x:c r="H14" s="14"/>
      <x:c r="I14" s="15"/>
      <x:c r="J14" s="15"/>
      <x:c r="K14" s="7" t="str">
        <x:v>Acknowledgments</x:v>
      </x:c>
      <x:c r="L14" s="7" t="str">
        <x:v>Metadata</x:v>
      </x:c>
      <x:c r="M14" s="7" t="str">
        <x:v>E055</x:v>
      </x:c>
      <x:c r="N14" s="7" t="str">
        <x:v>XML</x:v>
      </x:c>
    </x:row>
    <x:row r="15" ht="54" customHeight="1">
      <x:c r="A15" s="7" t="str">
        <x:v>Q009</x:v>
      </x:c>
      <x:c r="B15" s="7" t="str">
        <x:v>Metadata</x:v>
      </x:c>
      <x:c r="C15" s="7" t="str">
        <x:v>Provenance</x:v>
      </x:c>
      <x:c r="D15" s="7" t="str">
        <x:v>Under what license is the paper available after the first six months?</x:v>
      </x:c>
      <x:c r="E15" s="7" t="str">
        <x:v>1. Creative Commons Attribution–Noncommercial–Share Alike 3.0 Unported (CC BY-NC-SA 3.0).</x:v>
      </x:c>
      <x:c r="F15" s="9" t="n">
        <x:v>1</x:v>
      </x:c>
      <x:c r="G15" s="14"/>
      <x:c r="H15" s="14"/>
      <x:c r="I15" s="15"/>
      <x:c r="J15" s="15"/>
      <x:c r="K15" s="7" t="str">
        <x:v>Permissions</x:v>
      </x:c>
      <x:c r="L15" s="7" t="str">
        <x:v>Metadata</x:v>
      </x:c>
      <x:c r="M15" s="7" t="str">
        <x:v>M001</x:v>
      </x:c>
      <x:c r="N15" s="7" t="str">
        <x:v>XML</x:v>
      </x:c>
    </x:row>
    <x:row r="16" ht="54" customHeight="1">
      <x:c r="A16" s="7" t="str">
        <x:v>Q010</x:v>
      </x:c>
      <x:c r="B16" s="7" t="str">
        <x:v>Metadata</x:v>
      </x:c>
      <x:c r="C16" s="7" t="str">
        <x:v>Provenance</x:v>
      </x:c>
      <x:c r="D16" s="7" t="str">
        <x:v>Which related commentary is linked in the article metadata, and is it the evaluated article itself?</x:v>
      </x:c>
      <x:c r="E16" s="7" t="str">
        <x:v>1. Autophagosome assembly and cargo capture in the distal axon, Autophagy 8(5):858–860, PMCID PMC3378425
2. It is a separate commentary; the evaluated research article is PMC3283992.</x:v>
      </x:c>
      <x:c r="F16" s="9" t="n">
        <x:v>2</x:v>
      </x:c>
      <x:c r="G16" s="14"/>
      <x:c r="H16" s="14"/>
      <x:c r="I16" s="15"/>
      <x:c r="J16" s="15"/>
      <x:c r="K16" s="7" t="str">
        <x:v>Related-article metadata</x:v>
      </x:c>
      <x:c r="L16" s="7" t="str">
        <x:v>Metadata</x:v>
      </x:c>
      <x:c r="M16" s="7" t="str">
        <x:v>M001</x:v>
      </x:c>
      <x:c r="N16" s="7" t="str">
        <x:v>XML</x:v>
      </x:c>
    </x:row>
    <x:row r="17" ht="54" customHeight="1">
      <x:c r="A17" s="7" t="str">
        <x:v>Q011</x:v>
      </x:c>
      <x:c r="B17" s="7" t="str">
        <x:v>Context</x:v>
      </x:c>
      <x:c r="C17" s="7" t="str">
        <x:v>Entity</x:v>
      </x:c>
      <x:c r="D17" s="7" t="str">
        <x:v>What does the term autophagy mean in this paper?</x:v>
      </x:c>
      <x:c r="E17" s="7" t="str">
        <x:v>1. The term refers to macroautophagy
2. A lysosomal degradation process that removes and degrades damaged proteins and organelles.</x:v>
      </x:c>
      <x:c r="F17" s="9" t="n">
        <x:v>2</x:v>
      </x:c>
      <x:c r="G17" s="14"/>
      <x:c r="H17" s="14"/>
      <x:c r="I17" s="15"/>
      <x:c r="J17" s="15"/>
      <x:c r="K17" s="7" t="str">
        <x:v>Introduction, paragraph 1</x:v>
      </x:c>
      <x:c r="L17" s="7" t="str">
        <x:v>Cited background</x:v>
      </x:c>
      <x:c r="M17" s="7" t="str">
        <x:v>E004</x:v>
      </x:c>
      <x:c r="N17" s="7" t="str">
        <x:v>XML</x:v>
      </x:c>
    </x:row>
    <x:row r="18" ht="54" customHeight="1">
      <x:c r="A18" s="7" t="str">
        <x:v>Q012</x:v>
      </x:c>
      <x:c r="B18" s="7" t="str">
        <x:v>Context</x:v>
      </x:c>
      <x:c r="C18" s="7" t="str">
        <x:v>Relation</x:v>
      </x:c>
      <x:c r="D18" s="7" t="str">
        <x:v>What structure encloses cytoplasm at autophagy initiation, and what subsequently happens to it?</x:v>
      </x:c>
      <x:c r="E18" s="7" t="str">
        <x:v>1. A double-membrane autophagosome encloses part of the cytoplasm
2. It subsequently fuses with degradative compartments of the endosomal–lysosomal pathway.</x:v>
      </x:c>
      <x:c r="F18" s="9" t="n">
        <x:v>2</x:v>
      </x:c>
      <x:c r="G18" s="14"/>
      <x:c r="H18" s="14"/>
      <x:c r="I18" s="15"/>
      <x:c r="J18" s="15"/>
      <x:c r="K18" s="7" t="str">
        <x:v>Introduction, paragraph 1</x:v>
      </x:c>
      <x:c r="L18" s="7" t="str">
        <x:v>Cited background</x:v>
      </x:c>
      <x:c r="M18" s="7" t="str">
        <x:v>E004</x:v>
      </x:c>
      <x:c r="N18" s="7" t="str">
        <x:v>XML</x:v>
      </x:c>
    </x:row>
    <x:row r="19" ht="54" customHeight="1">
      <x:c r="A19" s="7" t="str">
        <x:v>Q013</x:v>
      </x:c>
      <x:c r="B19" s="7" t="str">
        <x:v>Context</x:v>
      </x:c>
      <x:c r="C19" s="7" t="str">
        <x:v>Context</x:v>
      </x:c>
      <x:c r="D19" s="7" t="str">
        <x:v>How does the introduction distinguish basal autophagy from stress-induced autophagy?</x:v>
      </x:c>
      <x:c r="E19" s="7" t="str">
        <x:v>1. Autophagy occurs basally and constitutively as quality control
2. It can be up-regulated by cellular stress such as starvation.</x:v>
      </x:c>
      <x:c r="F19" s="9" t="n">
        <x:v>2</x:v>
      </x:c>
      <x:c r="G19" s="14"/>
      <x:c r="H19" s="14"/>
      <x:c r="I19" s="15"/>
      <x:c r="J19" s="15"/>
      <x:c r="K19" s="7" t="str">
        <x:v>Introduction, paragraph 1</x:v>
      </x:c>
      <x:c r="L19" s="7" t="str">
        <x:v>Cited background</x:v>
      </x:c>
      <x:c r="M19" s="7" t="str">
        <x:v>E004</x:v>
      </x:c>
      <x:c r="N19" s="7" t="str">
        <x:v>XML</x:v>
      </x:c>
    </x:row>
    <x:row r="20" ht="54" customHeight="1">
      <x:c r="A20" s="7" t="str">
        <x:v>Q014</x:v>
      </x:c>
      <x:c r="B20" s="7" t="str">
        <x:v>Context</x:v>
      </x:c>
      <x:c r="C20" s="7" t="str">
        <x:v>Provenance</x:v>
      </x:c>
      <x:c r="D20" s="7" t="str">
        <x:v>Are neuron-specific autophagy disruption and resulting neurodegeneration new experiments in this study?</x:v>
      </x:c>
      <x:c r="E20" s="7" t="str">
        <x:v>1. No; these are background findings attributed to Hara et al. (2006) and Komatsu et al. (2006)
2. The present study investigates autophagosome dynamics in primary neurons.</x:v>
      </x:c>
      <x:c r="F20" s="9" t="n">
        <x:v>2</x:v>
      </x:c>
      <x:c r="G20" s="14"/>
      <x:c r="H20" s="14"/>
      <x:c r="I20" s="15"/>
      <x:c r="J20" s="15"/>
      <x:c r="K20" s="7" t="str">
        <x:v>Introduction, paragraphs 2–3</x:v>
      </x:c>
      <x:c r="L20" s="7" t="str">
        <x:v>Cited background</x:v>
      </x:c>
      <x:c r="M20" s="7" t="str">
        <x:v>E005, E006</x:v>
      </x:c>
      <x:c r="N20" s="7" t="str">
        <x:v>XML</x:v>
      </x:c>
    </x:row>
    <x:row r="21" ht="54" customHeight="1">
      <x:c r="A21" s="7" t="str">
        <x:v>Q015</x:v>
      </x:c>
      <x:c r="B21" s="7" t="str">
        <x:v>Context</x:v>
      </x:c>
      <x:c r="C21" s="7" t="str">
        <x:v>Entity</x:v>
      </x:c>
      <x:c r="D21" s="7" t="str">
        <x:v>Which three neurodegenerative diseases are mentioned as having models with autophagy defects?</x:v>
      </x:c>
      <x:c r="E21" s="7" t="str">
        <x:v>1. Alzheimer's disease
2. Huntington's disease
3. Amyotrophic lateral sclerosis (ALS).</x:v>
      </x:c>
      <x:c r="F21" s="9" t="n">
        <x:v>3</x:v>
      </x:c>
      <x:c r="G21" s="14"/>
      <x:c r="H21" s="14"/>
      <x:c r="I21" s="15"/>
      <x:c r="J21" s="15"/>
      <x:c r="K21" s="7" t="str">
        <x:v>Introduction, paragraph 2</x:v>
      </x:c>
      <x:c r="L21" s="7" t="str">
        <x:v>Cited background</x:v>
      </x:c>
      <x:c r="M21" s="7" t="str">
        <x:v>E005</x:v>
      </x:c>
      <x:c r="N21" s="7" t="str">
        <x:v>XML</x:v>
      </x:c>
    </x:row>
    <x:row r="22" ht="54" customHeight="1">
      <x:c r="A22" s="7" t="str">
        <x:v>Q016</x:v>
      </x:c>
      <x:c r="B22" s="7" t="str">
        <x:v>Context</x:v>
      </x:c>
      <x:c r="C22" s="7" t="str">
        <x:v>Context</x:v>
      </x:c>
      <x:c r="D22" s="7" t="str">
        <x:v>What primary cell type and species were used for live-cell experiments?</x:v>
      </x:c>
      <x:c r="E22" s="7" t="str">
        <x:v>1. Primary dorsal root ganglion (DRG) neurons
2. Mouse.</x:v>
      </x:c>
      <x:c r="F22" s="9" t="n">
        <x:v>2</x:v>
      </x:c>
      <x:c r="G22" s="14"/>
      <x:c r="H22" s="14"/>
      <x:c r="I22" s="15"/>
      <x:c r="J22" s="15"/>
      <x:c r="K22" s="7" t="str">
        <x:v>Results, distal initiation, paragraph 1; Reagents</x:v>
      </x:c>
      <x:c r="L22" s="7" t="str">
        <x:v>Direct observation</x:v>
      </x:c>
      <x:c r="M22" s="7" t="str">
        <x:v>E009, E039</x:v>
      </x:c>
      <x:c r="N22" s="7" t="str">
        <x:v>XML</x:v>
      </x:c>
    </x:row>
    <x:row r="23" ht="54" customHeight="1">
      <x:c r="A23" s="7" t="str">
        <x:v>Q017</x:v>
      </x:c>
      <x:c r="B23" s="7" t="str">
        <x:v>Context</x:v>
      </x:c>
      <x:c r="C23" s="7" t="str">
        <x:v>Context</x:v>
      </x:c>
      <x:c r="D23" s="7" t="str">
        <x:v>What made the cultured DRG neurites suitable for resolving spatial stages of autophagy?</x:v>
      </x:c>
      <x:c r="E23" s="7" t="str">
        <x:v>1. After 2 days in vitro, neurites were approximately 1,000 µm long
2. Their extended length provided spatial separation of biogenesis and maturation.</x:v>
      </x:c>
      <x:c r="F23" s="9" t="n">
        <x:v>2</x:v>
      </x:c>
      <x:c r="G23" s="14"/>
      <x:c r="H23" s="14"/>
      <x:c r="I23" s="15"/>
      <x:c r="J23" s="15"/>
      <x:c r="K23" s="7" t="str">
        <x:v>Results, distal initiation, paragraph 1</x:v>
      </x:c>
      <x:c r="L23" s="7" t="str">
        <x:v>Direct observation</x:v>
      </x:c>
      <x:c r="M23" s="7" t="str">
        <x:v>E009</x:v>
      </x:c>
      <x:c r="N23" s="7" t="str">
        <x:v>XML</x:v>
      </x:c>
    </x:row>
    <x:row r="24" ht="54" customHeight="1">
      <x:c r="A24" s="7" t="str">
        <x:v>Q018</x:v>
      </x:c>
      <x:c r="B24" s="7" t="str">
        <x:v>Context</x:v>
      </x:c>
      <x:c r="C24" s="7" t="str">
        <x:v>Relation</x:v>
      </x:c>
      <x:c r="D24" s="7" t="str">
        <x:v>What supported treating the neurites as axons?</x:v>
      </x:c>
      <x:c r="E24" s="7" t="str">
        <x:v>1. The neurites were tau positive
2. Their microtubules were uniformly polarized with plus ends outward, as indicated by EB3 movement.</x:v>
      </x:c>
      <x:c r="F24" s="9" t="n">
        <x:v>2</x:v>
      </x:c>
      <x:c r="G24" s="14"/>
      <x:c r="H24" s="14"/>
      <x:c r="I24" s="15"/>
      <x:c r="J24" s="15"/>
      <x:c r="K24" s="7" t="str">
        <x:v>Results, distal initiation, paragraph 1; Fig. S1 A</x:v>
      </x:c>
      <x:c r="L24" s="7" t="str">
        <x:v>Direct observation</x:v>
      </x:c>
      <x:c r="M24" s="7" t="str">
        <x:v>E009, S001</x:v>
      </x:c>
      <x:c r="N24" s="7" t="str">
        <x:v>XML+supplement</x:v>
      </x:c>
    </x:row>
    <x:row r="25" ht="68" customHeight="1">
      <x:c r="A25" s="7" t="str">
        <x:v>Q019</x:v>
      </x:c>
      <x:c r="B25" s="7" t="str">
        <x:v>Context</x:v>
      </x:c>
      <x:c r="C25" s="7" t="str">
        <x:v>Entity</x:v>
      </x:c>
      <x:c r="D25" s="7" t="str">
        <x:v>Expand DRG, ALS, fALS, LAMP1 and Ub.</x:v>
      </x:c>
      <x:c r="E25" s="7" t="str">
        <x:v>1. DRG: dorsal root ganglion
2. ALS: amyotrophic lateral sclerosis; fALS: familial ALS
3. LAMP1: lysosomal-associated membrane protein 1
4. Ub: ubiquitin.</x:v>
      </x:c>
      <x:c r="F25" s="9" t="n">
        <x:v>4</x:v>
      </x:c>
      <x:c r="G25" s="14"/>
      <x:c r="H25" s="14"/>
      <x:c r="I25" s="15"/>
      <x:c r="J25" s="15"/>
      <x:c r="K25" s="7" t="str">
        <x:v>Abbreviations</x:v>
      </x:c>
      <x:c r="L25" s="7" t="str">
        <x:v>Definition</x:v>
      </x:c>
      <x:c r="M25" s="7" t="str">
        <x:v>E056</x:v>
      </x:c>
      <x:c r="N25" s="7" t="str">
        <x:v>XML</x:v>
      </x:c>
    </x:row>
    <x:row r="26" ht="54" customHeight="1">
      <x:c r="A26" s="7" t="str">
        <x:v>Q020</x:v>
      </x:c>
      <x:c r="B26" s="7" t="str">
        <x:v>Context</x:v>
      </x:c>
      <x:c r="C26" s="7" t="str">
        <x:v>Context</x:v>
      </x:c>
      <x:c r="D26" s="7" t="str">
        <x:v>Was the reported autophagosome pathway observed as a constitutive process or only after experimentally induced starvation?</x:v>
      </x:c>
      <x:c r="E26" s="7" t="str">
        <x:v>1. It was observed as a basal, constitutive process in cultured primary neurons
2. The reported experiments do not establish it only under starvation induction.</x:v>
      </x:c>
      <x:c r="F26" s="9" t="n">
        <x:v>2</x:v>
      </x:c>
      <x:c r="G26" s="14"/>
      <x:c r="H26" s="14"/>
      <x:c r="I26" s="15"/>
      <x:c r="J26" s="15"/>
      <x:c r="K26" s="7" t="str">
        <x:v>Abstract; Introduction; Live-cell imaging</x:v>
      </x:c>
      <x:c r="L26" s="7" t="str">
        <x:v>Direct observation</x:v>
      </x:c>
      <x:c r="M26" s="7" t="str">
        <x:v>E002, E006, E043</x:v>
      </x:c>
      <x:c r="N26" s="7" t="str">
        <x:v>XML</x:v>
      </x:c>
    </x:row>
    <x:row r="27" ht="54" customHeight="1">
      <x:c r="A27" s="7" t="str">
        <x:v>Q021</x:v>
      </x:c>
      <x:c r="B27" s="7" t="str">
        <x:v>Biogenesis</x:v>
      </x:c>
      <x:c r="C27" s="7" t="str">
        <x:v>Entity</x:v>
      </x:c>
      <x:c r="D27" s="7" t="str">
        <x:v>Which reporter was used to visualize autophagosomes, and how was it introduced in the principal experiments?</x:v>
      </x:c>
      <x:c r="E27" s="7" t="str">
        <x:v>1. GFP-LC3
2. DRG neurons were isolated from transgenic mice expressing GFP-LC3.</x:v>
      </x:c>
      <x:c r="F27" s="9" t="n">
        <x:v>2</x:v>
      </x:c>
      <x:c r="G27" s="14"/>
      <x:c r="H27" s="14"/>
      <x:c r="I27" s="15"/>
      <x:c r="J27" s="15"/>
      <x:c r="K27" s="7" t="str">
        <x:v>Results, distal initiation, paragraph 1</x:v>
      </x:c>
      <x:c r="L27" s="7" t="str">
        <x:v>Direct observation</x:v>
      </x:c>
      <x:c r="M27" s="7" t="str">
        <x:v>E009</x:v>
      </x:c>
      <x:c r="N27" s="7" t="str">
        <x:v>XML</x:v>
      </x:c>
    </x:row>
    <x:row r="28" ht="54" customHeight="1">
      <x:c r="A28" s="7" t="str">
        <x:v>Q022</x:v>
      </x:c>
      <x:c r="B28" s="7" t="str">
        <x:v>Biogenesis</x:v>
      </x:c>
      <x:c r="C28" s="7" t="str">
        <x:v>Relation</x:v>
      </x:c>
      <x:c r="D28" s="7" t="str">
        <x:v>How does LC3 localization change when autophagosomes form?</x:v>
      </x:c>
      <x:c r="E28" s="7" t="str">
        <x:v>1. Cytosolic GFP-LC3 is initially distributed throughout the neuron
2. LC3 becomes lipidated and incorporated into forming autophagosomes.</x:v>
      </x:c>
      <x:c r="F28" s="9" t="n">
        <x:v>2</x:v>
      </x:c>
      <x:c r="G28" s="14"/>
      <x:c r="H28" s="14"/>
      <x:c r="I28" s="15"/>
      <x:c r="J28" s="15"/>
      <x:c r="K28" s="7" t="str">
        <x:v>Results, distal initiation, paragraph 2</x:v>
      </x:c>
      <x:c r="L28" s="7" t="str">
        <x:v>Cited background</x:v>
      </x:c>
      <x:c r="M28" s="7" t="str">
        <x:v>E010</x:v>
      </x:c>
      <x:c r="N28" s="7" t="str">
        <x:v>XML</x:v>
      </x:c>
    </x:row>
    <x:row r="29" ht="54" customHeight="1">
      <x:c r="A29" s="7" t="str">
        <x:v>Q023</x:v>
      </x:c>
      <x:c r="B29" s="7" t="str">
        <x:v>Biogenesis</x:v>
      </x:c>
      <x:c r="C29" s="7" t="str">
        <x:v>Context</x:v>
      </x:c>
      <x:c r="D29" s="7" t="str">
        <x:v>Where were newly forming GFP-LC3 rings observed relative to the soma?</x:v>
      </x:c>
      <x:c r="E29" s="7" t="str">
        <x:v>1. In bulbous regions near the distal axon/neurite tip
2. Approximately 1 mm from the cell soma.</x:v>
      </x:c>
      <x:c r="F29" s="9" t="n">
        <x:v>2</x:v>
      </x:c>
      <x:c r="G29" s="14"/>
      <x:c r="H29" s="14"/>
      <x:c r="I29" s="15"/>
      <x:c r="J29" s="15"/>
      <x:c r="K29" s="7" t="str">
        <x:v>Results, distal initiation, paragraph 2</x:v>
      </x:c>
      <x:c r="L29" s="7" t="str">
        <x:v>Direct observation</x:v>
      </x:c>
      <x:c r="M29" s="7" t="str">
        <x:v>E010</x:v>
      </x:c>
      <x:c r="N29" s="7" t="str">
        <x:v>XML</x:v>
      </x:c>
    </x:row>
    <x:row r="30" ht="54" customHeight="1">
      <x:c r="A30" s="7" t="str">
        <x:v>Q024</x:v>
      </x:c>
      <x:c r="B30" s="7" t="str">
        <x:v>Biogenesis</x:v>
      </x:c>
      <x:c r="C30" s="7" t="str">
        <x:v>Numerical</x:v>
      </x:c>
      <x:c r="D30" s="7" t="str">
        <x:v>What was the approximate diameter of the distal GFP-LC3 ring structures?</x:v>
      </x:c>
      <x:c r="E30" s="7" t="str">
        <x:v>1. Approximately 800 nm (0.8 µm).</x:v>
      </x:c>
      <x:c r="F30" s="9" t="n">
        <x:v>1</x:v>
      </x:c>
      <x:c r="G30" s="14"/>
      <x:c r="H30" s="14"/>
      <x:c r="I30" s="15"/>
      <x:c r="J30" s="15"/>
      <x:c r="K30" s="7" t="str">
        <x:v>Results, distal initiation, paragraph 2</x:v>
      </x:c>
      <x:c r="L30" s="7" t="str">
        <x:v>Direct observation</x:v>
      </x:c>
      <x:c r="M30" s="7" t="str">
        <x:v>E010</x:v>
      </x:c>
      <x:c r="N30" s="7" t="str">
        <x:v>XML</x:v>
      </x:c>
    </x:row>
    <x:row r="31" ht="54" customHeight="1">
      <x:c r="A31" s="7" t="str">
        <x:v>Q025</x:v>
      </x:c>
      <x:c r="B31" s="7" t="str">
        <x:v>Biogenesis</x:v>
      </x:c>
      <x:c r="C31" s="7" t="str">
        <x:v>Relation</x:v>
      </x:c>
      <x:c r="D31" s="7" t="str">
        <x:v>What evidence supported identifying the distal rings as autophagosomes?</x:v>
      </x:c>
      <x:c r="E31" s="7" t="str">
        <x:v>1. Strong LC3-positive signals
2. Morphological similarity to LC3-positive structures observed in vivo in GFP-LC3 transgenic mice.</x:v>
      </x:c>
      <x:c r="F31" s="9" t="n">
        <x:v>2</x:v>
      </x:c>
      <x:c r="G31" s="14"/>
      <x:c r="H31" s="14"/>
      <x:c r="I31" s="15"/>
      <x:c r="J31" s="15"/>
      <x:c r="K31" s="7" t="str">
        <x:v>Results, distal initiation, paragraph 2</x:v>
      </x:c>
      <x:c r="L31" s="7" t="str">
        <x:v>Interpretation</x:v>
      </x:c>
      <x:c r="M31" s="7" t="str">
        <x:v>E010</x:v>
      </x:c>
      <x:c r="N31" s="7" t="str">
        <x:v>XML</x:v>
      </x:c>
    </x:row>
    <x:row r="32" ht="54" customHeight="1">
      <x:c r="A32" s="7" t="str">
        <x:v>Q026</x:v>
      </x:c>
      <x:c r="B32" s="7" t="str">
        <x:v>Biogenesis</x:v>
      </x:c>
      <x:c r="C32" s="7" t="str">
        <x:v>Temporal</x:v>
      </x:c>
      <x:c r="D32" s="7" t="str">
        <x:v>What sequence of morphological changes directly demonstrated distal biogenesis?</x:v>
      </x:c>
      <x:c r="E32" s="7" t="str">
        <x:v>1. GFP-LC3-positive puncta appeared in distal bulbs
2. They progressively grew into ringlike structures.</x:v>
      </x:c>
      <x:c r="F32" s="9" t="n">
        <x:v>2</x:v>
      </x:c>
      <x:c r="G32" s="14"/>
      <x:c r="H32" s="14"/>
      <x:c r="I32" s="15"/>
      <x:c r="J32" s="15"/>
      <x:c r="K32" s="7" t="str">
        <x:v>Results, distal initiation, paragraph 3; Fig. 1 C–E</x:v>
      </x:c>
      <x:c r="L32" s="7" t="str">
        <x:v>Direct observation</x:v>
      </x:c>
      <x:c r="M32" s="7" t="str">
        <x:v>E012, E011</x:v>
      </x:c>
      <x:c r="N32" s="7" t="str">
        <x:v>XML</x:v>
      </x:c>
    </x:row>
    <x:row r="33" ht="54" customHeight="1">
      <x:c r="A33" s="7" t="str">
        <x:v>Q027</x:v>
      </x:c>
      <x:c r="B33" s="7" t="str">
        <x:v>Biogenesis</x:v>
      </x:c>
      <x:c r="C33" s="7" t="str">
        <x:v>Numerical</x:v>
      </x:c>
      <x:c r="D33" s="7" t="str">
        <x:v>When did growing puncta begin to recover GFP-LC3 fluorescence after photobleaching?</x:v>
      </x:c>
      <x:c r="E33" s="7" t="str">
        <x:v>1. Approximately 20 seconds after photobleaching.</x:v>
      </x:c>
      <x:c r="F33" s="9" t="n">
        <x:v>1</x:v>
      </x:c>
      <x:c r="G33" s="14"/>
      <x:c r="H33" s="14"/>
      <x:c r="I33" s="15"/>
      <x:c r="J33" s="15"/>
      <x:c r="K33" s="7" t="str">
        <x:v>Results, distal initiation, paragraph 3; Fig. 1 D</x:v>
      </x:c>
      <x:c r="L33" s="7" t="str">
        <x:v>Direct observation</x:v>
      </x:c>
      <x:c r="M33" s="7" t="str">
        <x:v>E012</x:v>
      </x:c>
      <x:c r="N33" s="7" t="str">
        <x:v>XML</x:v>
      </x:c>
    </x:row>
    <x:row r="34" ht="54" customHeight="1">
      <x:c r="A34" s="7" t="str">
        <x:v>Q028</x:v>
      </x:c>
      <x:c r="B34" s="7" t="str">
        <x:v>Biogenesis</x:v>
      </x:c>
      <x:c r="C34" s="7" t="str">
        <x:v>Numerical</x:v>
      </x:c>
      <x:c r="D34" s="7" t="str">
        <x:v>How long did recovering puncta take to develop into rings?</x:v>
      </x:c>
      <x:c r="E34" s="7" t="str">
        <x:v>1. Approximately 4–6 minutes.</x:v>
      </x:c>
      <x:c r="F34" s="9" t="n">
        <x:v>1</x:v>
      </x:c>
      <x:c r="G34" s="14"/>
      <x:c r="H34" s="14"/>
      <x:c r="I34" s="15"/>
      <x:c r="J34" s="15"/>
      <x:c r="K34" s="7" t="str">
        <x:v>Results, distal initiation, paragraph 3</x:v>
      </x:c>
      <x:c r="L34" s="7" t="str">
        <x:v>Direct observation</x:v>
      </x:c>
      <x:c r="M34" s="7" t="str">
        <x:v>E012</x:v>
      </x:c>
      <x:c r="N34" s="7" t="str">
        <x:v>XML</x:v>
      </x:c>
    </x:row>
    <x:row r="35" ht="54" customHeight="1">
      <x:c r="A35" s="7" t="str">
        <x:v>Q029</x:v>
      </x:c>
      <x:c r="B35" s="7" t="str">
        <x:v>Biogenesis</x:v>
      </x:c>
      <x:c r="C35" s="7" t="str">
        <x:v>Relation</x:v>
      </x:c>
      <x:c r="D35" s="7" t="str">
        <x:v>What did fluorescence recovery of a growing punctum indicate?</x:v>
      </x:c>
      <x:c r="E35" s="7" t="str">
        <x:v>1. Continued recruitment of unbleached GFP-LC3
2. Into the expanding autophagosome.</x:v>
      </x:c>
      <x:c r="F35" s="9" t="n">
        <x:v>2</x:v>
      </x:c>
      <x:c r="G35" s="14"/>
      <x:c r="H35" s="14"/>
      <x:c r="I35" s="15"/>
      <x:c r="J35" s="15"/>
      <x:c r="K35" s="7" t="str">
        <x:v>Results, distal initiation, paragraph 3</x:v>
      </x:c>
      <x:c r="L35" s="7" t="str">
        <x:v>Interpretation</x:v>
      </x:c>
      <x:c r="M35" s="7" t="str">
        <x:v>E012</x:v>
      </x:c>
      <x:c r="N35" s="7" t="str">
        <x:v>XML</x:v>
      </x:c>
    </x:row>
    <x:row r="36" ht="54" customHeight="1">
      <x:c r="A36" s="7" t="str">
        <x:v>Q030</x:v>
      </x:c>
      <x:c r="B36" s="7" t="str">
        <x:v>Biogenesis</x:v>
      </x:c>
      <x:c r="C36" s="7" t="str">
        <x:v>Negation</x:v>
      </x:c>
      <x:c r="D36" s="7" t="str">
        <x:v>How did preexisting autophagosome rings behave after GFP-LC3 photobleaching?</x:v>
      </x:c>
      <x:c r="E36" s="7" t="str">
        <x:v>1. They did not recover GFP-LC3 fluorescence
2. They appeared as dark or black holes within GFP-LC3-labeled cytoplasm.</x:v>
      </x:c>
      <x:c r="F36" s="9" t="n">
        <x:v>2</x:v>
      </x:c>
      <x:c r="G36" s="14"/>
      <x:c r="H36" s="14"/>
      <x:c r="I36" s="15"/>
      <x:c r="J36" s="15"/>
      <x:c r="K36" s="7" t="str">
        <x:v>Results, distal initiation, paragraph 3; Fig. 1 E</x:v>
      </x:c>
      <x:c r="L36" s="7" t="str">
        <x:v>Direct observation</x:v>
      </x:c>
      <x:c r="M36" s="7" t="str">
        <x:v>E012</x:v>
      </x:c>
      <x:c r="N36" s="7" t="str">
        <x:v>XML</x:v>
      </x:c>
    </x:row>
    <x:row r="37" ht="54" customHeight="1">
      <x:c r="A37" s="7" t="str">
        <x:v>Q031</x:v>
      </x:c>
      <x:c r="B37" s="7" t="str">
        <x:v>Biogenesis</x:v>
      </x:c>
      <x:c r="C37" s="7" t="str">
        <x:v>Uncertainty</x:v>
      </x:c>
      <x:c r="D37" s="7" t="str">
        <x:v>What inference did the authors make from the lack of recovery in preexisting rings?</x:v>
      </x:c>
      <x:c r="E37" s="7" t="str">
        <x:v>1. Incorporated GFP-LC3 is relatively stable
2. It does not rapidly exchange with the cytosolic pool.</x:v>
      </x:c>
      <x:c r="F37" s="9" t="n">
        <x:v>2</x:v>
      </x:c>
      <x:c r="G37" s="14"/>
      <x:c r="H37" s="14"/>
      <x:c r="I37" s="15"/>
      <x:c r="J37" s="15"/>
      <x:c r="K37" s="7" t="str">
        <x:v>Results, distal initiation, paragraph 3</x:v>
      </x:c>
      <x:c r="L37" s="7" t="str">
        <x:v>Interpretation</x:v>
      </x:c>
      <x:c r="M37" s="7" t="str">
        <x:v>E012</x:v>
      </x:c>
      <x:c r="N37" s="7" t="str">
        <x:v>XML</x:v>
      </x:c>
    </x:row>
    <x:row r="38" ht="54" customHeight="1">
      <x:c r="A38" s="7" t="str">
        <x:v>Q032</x:v>
      </x:c>
      <x:c r="B38" s="7" t="str">
        <x:v>Biogenesis</x:v>
      </x:c>
      <x:c r="C38" s="7" t="str">
        <x:v>Negation</x:v>
      </x:c>
      <x:c r="D38" s="7" t="str">
        <x:v>What did FRAP along the axon show about formation, growth and existing autophagosomes?</x:v>
      </x:c>
      <x:c r="E38" s="7" t="str">
        <x:v>1. No autophagosome formation or growth was observed there
2. Preexisting axonal autophagosomes also showed no GFP-LC3 recovery.</x:v>
      </x:c>
      <x:c r="F38" s="9" t="n">
        <x:v>2</x:v>
      </x:c>
      <x:c r="G38" s="14"/>
      <x:c r="H38" s="14"/>
      <x:c r="I38" s="15"/>
      <x:c r="J38" s="15"/>
      <x:c r="K38" s="7" t="str">
        <x:v>Results, distal initiation, paragraph 3; Fig. S1 B</x:v>
      </x:c>
      <x:c r="L38" s="7" t="str">
        <x:v>Direct observation</x:v>
      </x:c>
      <x:c r="M38" s="7" t="str">
        <x:v>E012, S001</x:v>
      </x:c>
      <x:c r="N38" s="7" t="str">
        <x:v>XML+supplement</x:v>
      </x:c>
    </x:row>
    <x:row r="39" ht="54" customHeight="1">
      <x:c r="A39" s="7" t="str">
        <x:v>Q033</x:v>
      </x:c>
      <x:c r="B39" s="7" t="str">
        <x:v>Biogenesis</x:v>
      </x:c>
      <x:c r="C39" s="7" t="str">
        <x:v>Uncertainty</x:v>
      </x:c>
      <x:c r="D39" s="7" t="str">
        <x:v>Could the authors exclude autophagosome initiation in the cell body, and why?</x:v>
      </x:c>
      <x:c r="E39" s="7" t="str">
        <x:v>1. No
2. High somatic autofluorescence limited their resolution.</x:v>
      </x:c>
      <x:c r="F39" s="9" t="n">
        <x:v>2</x:v>
      </x:c>
      <x:c r="G39" s="14"/>
      <x:c r="H39" s="14"/>
      <x:c r="I39" s="15"/>
      <x:c r="J39" s="15"/>
      <x:c r="K39" s="7" t="str">
        <x:v>Results, distal initiation, paragraph 4</x:v>
      </x:c>
      <x:c r="L39" s="7" t="str">
        <x:v>Limitation</x:v>
      </x:c>
      <x:c r="M39" s="7" t="str">
        <x:v>E013</x:v>
      </x:c>
      <x:c r="N39" s="7" t="str">
        <x:v>XML</x:v>
      </x:c>
    </x:row>
    <x:row r="40" ht="54" customHeight="1">
      <x:c r="A40" s="7" t="str">
        <x:v>Q034</x:v>
      </x:c>
      <x:c r="B40" s="7" t="str">
        <x:v>Biogenesis</x:v>
      </x:c>
      <x:c r="C40" s="7" t="str">
        <x:v>Uncertainty</x:v>
      </x:c>
      <x:c r="D40" s="7" t="str">
        <x:v>Which membrane sources were proposed for the distal rings, and was a source established?</x:v>
      </x:c>
      <x:c r="E40" s="7" t="str">
        <x:v>1. Endocytosed plasma membrane, ER, mitochondria or Golgi membranes were possible sources
2. The actual membrane origin remained undetermined.</x:v>
      </x:c>
      <x:c r="F40" s="9" t="n">
        <x:v>2</x:v>
      </x:c>
      <x:c r="G40" s="14"/>
      <x:c r="H40" s="14"/>
      <x:c r="I40" s="15"/>
      <x:c r="J40" s="15"/>
      <x:c r="K40" s="7" t="str">
        <x:v>Results, distal initiation, paragraph 4</x:v>
      </x:c>
      <x:c r="L40" s="7" t="str">
        <x:v>Hypothesis</x:v>
      </x:c>
      <x:c r="M40" s="7" t="str">
        <x:v>E013</x:v>
      </x:c>
      <x:c r="N40" s="7" t="str">
        <x:v>XML</x:v>
      </x:c>
    </x:row>
    <x:row r="41" ht="54" customHeight="1">
      <x:c r="A41" s="7" t="str">
        <x:v>Q035</x:v>
      </x:c>
      <x:c r="B41" s="7" t="str">
        <x:v>Biogenesis</x:v>
      </x:c>
      <x:c r="C41" s="7" t="str">
        <x:v>Context</x:v>
      </x:c>
      <x:c r="D41" s="7" t="str">
        <x:v>How does the observed spatial pattern differ from the cited pattern in smaller, less polarized cells?</x:v>
      </x:c>
      <x:c r="E41" s="7" t="str">
        <x:v>1. In primary neurons, observed biogenesis was concentrated at the distal neurite
2. In cited smaller, less polarized cells, autophagosomes form throughout the cytosol.</x:v>
      </x:c>
      <x:c r="F41" s="9" t="n">
        <x:v>2</x:v>
      </x:c>
      <x:c r="G41" s="14"/>
      <x:c r="H41" s="14"/>
      <x:c r="I41" s="15"/>
      <x:c r="J41" s="15"/>
      <x:c r="K41" s="7" t="str">
        <x:v>Results, distal initiation, paragraph 4</x:v>
      </x:c>
      <x:c r="L41" s="7" t="str">
        <x:v>Cited background</x:v>
      </x:c>
      <x:c r="M41" s="7" t="str">
        <x:v>E013</x:v>
      </x:c>
      <x:c r="N41" s="7" t="str">
        <x:v>XML</x:v>
      </x:c>
    </x:row>
    <x:row r="42" ht="54" customHeight="1">
      <x:c r="A42" s="7" t="str">
        <x:v>Q036</x:v>
      </x:c>
      <x:c r="B42" s="7" t="str">
        <x:v>Biogenesis</x:v>
      </x:c>
      <x:c r="C42" s="7" t="str">
        <x:v>Provenance</x:v>
      </x:c>
      <x:c r="D42" s="7" t="str">
        <x:v>Which figure panels and video show puncta growing into rings and the FRAP distinction between growing and existing structures?</x:v>
      </x:c>
      <x:c r="E42" s="7" t="str">
        <x:v>1. Fig. 1 C and Video 1 show puncta growing into rings
2. Fig. 1 D–E show distal FRAP behavior.</x:v>
      </x:c>
      <x:c r="F42" s="9" t="n">
        <x:v>2</x:v>
      </x:c>
      <x:c r="G42" s="14"/>
      <x:c r="H42" s="14"/>
      <x:c r="I42" s="15"/>
      <x:c r="J42" s="15"/>
      <x:c r="K42" s="7" t="str">
        <x:v>Fig. 1 legend; supplemental video captions</x:v>
      </x:c>
      <x:c r="L42" s="7" t="str">
        <x:v>Direct observation</x:v>
      </x:c>
      <x:c r="M42" s="7" t="str">
        <x:v>E011, E054, S004</x:v>
      </x:c>
      <x:c r="N42" s="7" t="str">
        <x:v>XML+supplement</x:v>
      </x:c>
    </x:row>
    <x:row r="43" ht="54" customHeight="1">
      <x:c r="A43" s="7" t="str">
        <x:v>Q037</x:v>
      </x:c>
      <x:c r="B43" s="7" t="str">
        <x:v>Transport</x:v>
      </x:c>
      <x:c r="C43" s="7" t="str">
        <x:v>Context</x:v>
      </x:c>
      <x:c r="D43" s="7" t="str">
        <x:v>How did distal autophagosomes move before entering the axon shaft?</x:v>
      </x:c>
      <x:c r="E43" s="7" t="str">
        <x:v>1. They were stationary or showed saltatory bidirectional motion
2. This was constrained within approximately 150–200 µm of the neurite tip.</x:v>
      </x:c>
      <x:c r="F43" s="9" t="n">
        <x:v>2</x:v>
      </x:c>
      <x:c r="G43" s="14"/>
      <x:c r="H43" s="14"/>
      <x:c r="I43" s="15"/>
      <x:c r="J43" s="15"/>
      <x:c r="K43" s="7" t="str">
        <x:v>Results, distal initiation, paragraph 5</x:v>
      </x:c>
      <x:c r="L43" s="7" t="str">
        <x:v>Direct observation</x:v>
      </x:c>
      <x:c r="M43" s="7" t="str">
        <x:v>E014</x:v>
      </x:c>
      <x:c r="N43" s="7" t="str">
        <x:v>XML</x:v>
      </x:c>
    </x:row>
    <x:row r="44" ht="54" customHeight="1">
      <x:c r="A44" s="7" t="str">
        <x:v>Q038</x:v>
      </x:c>
      <x:c r="B44" s="7" t="str">
        <x:v>Transport</x:v>
      </x:c>
      <x:c r="C44" s="7" t="str">
        <x:v>Temporal</x:v>
      </x:c>
      <x:c r="D44" s="7" t="str">
        <x:v>What transition was occasionally observed when autophagosomes escaped the distal pool?</x:v>
      </x:c>
      <x:c r="E44" s="7" t="str">
        <x:v>1. They left the locally bidirectional pool
2. They initiated processive retrograde travel toward the cell body.</x:v>
      </x:c>
      <x:c r="F44" s="9" t="n">
        <x:v>2</x:v>
      </x:c>
      <x:c r="G44" s="14"/>
      <x:c r="H44" s="14"/>
      <x:c r="I44" s="15"/>
      <x:c r="J44" s="15"/>
      <x:c r="K44" s="7" t="str">
        <x:v>Results, distal initiation, paragraph 5; Fig. 1 F</x:v>
      </x:c>
      <x:c r="L44" s="7" t="str">
        <x:v>Direct observation</x:v>
      </x:c>
      <x:c r="M44" s="7" t="str">
        <x:v>E014, E011</x:v>
      </x:c>
      <x:c r="N44" s="7" t="str">
        <x:v>XML</x:v>
      </x:c>
    </x:row>
    <x:row r="45" ht="54" customHeight="1">
      <x:c r="A45" s="7" t="str">
        <x:v>Q039</x:v>
      </x:c>
      <x:c r="B45" s="7" t="str">
        <x:v>Transport</x:v>
      </x:c>
      <x:c r="C45" s="7" t="str">
        <x:v>Context</x:v>
      </x:c>
      <x:c r="D45" s="7" t="str">
        <x:v>In what axonal region was robust unidirectional motility described for the main transport analysis?</x:v>
      </x:c>
      <x:c r="E45" s="7" t="str">
        <x:v>1. Approximately 50–500 µm from the cell body.</x:v>
      </x:c>
      <x:c r="F45" s="9" t="n">
        <x:v>1</x:v>
      </x:c>
      <x:c r="G45" s="14"/>
      <x:c r="H45" s="14"/>
      <x:c r="I45" s="15"/>
      <x:c r="J45" s="15"/>
      <x:c r="K45" s="7" t="str">
        <x:v>Results, distal initiation, paragraph 5</x:v>
      </x:c>
      <x:c r="L45" s="7" t="str">
        <x:v>Direct observation</x:v>
      </x:c>
      <x:c r="M45" s="7" t="str">
        <x:v>E014</x:v>
      </x:c>
      <x:c r="N45" s="7" t="str">
        <x:v>XML</x:v>
      </x:c>
    </x:row>
    <x:row r="46" ht="54" customHeight="1">
      <x:c r="A46" s="7" t="str">
        <x:v>Q040</x:v>
      </x:c>
      <x:c r="B46" s="7" t="str">
        <x:v>Transport</x:v>
      </x:c>
      <x:c r="C46" s="7" t="str">
        <x:v>Numerical</x:v>
      </x:c>
      <x:c r="D46" s="7" t="str">
        <x:v>What fraction of autophagosomes underwent net retrograde movement, with what uncertainty and displacement threshold?</x:v>
      </x:c>
      <x:c r="E46" s="7" t="str">
        <x:v>1. 82 ± 2% (SEM)
2. Net retrograde displacement at least 10 µm.</x:v>
      </x:c>
      <x:c r="F46" s="9" t="n">
        <x:v>2</x:v>
      </x:c>
      <x:c r="G46" s="14"/>
      <x:c r="H46" s="14"/>
      <x:c r="I46" s="15"/>
      <x:c r="J46" s="15"/>
      <x:c r="K46" s="7" t="str">
        <x:v>Results, distal initiation, paragraph 5</x:v>
      </x:c>
      <x:c r="L46" s="7" t="str">
        <x:v>Direct observation</x:v>
      </x:c>
      <x:c r="M46" s="7" t="str">
        <x:v>E014</x:v>
      </x:c>
      <x:c r="N46" s="7" t="str">
        <x:v>XML</x:v>
      </x:c>
    </x:row>
    <x:row r="47" ht="54" customHeight="1">
      <x:c r="A47" s="7" t="str">
        <x:v>Q041</x:v>
      </x:c>
      <x:c r="B47" s="7" t="str">
        <x:v>Transport</x:v>
      </x:c>
      <x:c r="C47" s="7" t="str">
        <x:v>Numerical</x:v>
      </x:c>
      <x:c r="D47" s="7" t="str">
        <x:v>How common was net anterograde autophagosome movement in the main axonal analysis?</x:v>
      </x:c>
      <x:c r="E47" s="7" t="str">
        <x:v>1. Less than 1%.</x:v>
      </x:c>
      <x:c r="F47" s="9" t="n">
        <x:v>1</x:v>
      </x:c>
      <x:c r="G47" s="14"/>
      <x:c r="H47" s="14"/>
      <x:c r="I47" s="15"/>
      <x:c r="J47" s="15"/>
      <x:c r="K47" s="7" t="str">
        <x:v>Results, distal initiation, paragraph 5</x:v>
      </x:c>
      <x:c r="L47" s="7" t="str">
        <x:v>Direct observation</x:v>
      </x:c>
      <x:c r="M47" s="7" t="str">
        <x:v>E014</x:v>
      </x:c>
      <x:c r="N47" s="7" t="str">
        <x:v>XML</x:v>
      </x:c>
    </x:row>
    <x:row r="48" ht="54" customHeight="1">
      <x:c r="A48" s="7" t="str">
        <x:v>Q042</x:v>
      </x:c>
      <x:c r="B48" s="7" t="str">
        <x:v>Transport</x:v>
      </x:c>
      <x:c r="C48" s="7" t="str">
        <x:v>Numerical</x:v>
      </x:c>
      <x:c r="D48" s="7" t="str">
        <x:v>What fraction was nonprocessively bidirectional or stationary?</x:v>
      </x:c>
      <x:c r="E48" s="7" t="str">
        <x:v>1. Less than 20% of autophagosomes.</x:v>
      </x:c>
      <x:c r="F48" s="9" t="n">
        <x:v>1</x:v>
      </x:c>
      <x:c r="G48" s="14"/>
      <x:c r="H48" s="14"/>
      <x:c r="I48" s="15"/>
      <x:c r="J48" s="15"/>
      <x:c r="K48" s="7" t="str">
        <x:v>Results, distal initiation, paragraph 5</x:v>
      </x:c>
      <x:c r="L48" s="7" t="str">
        <x:v>Direct observation</x:v>
      </x:c>
      <x:c r="M48" s="7" t="str">
        <x:v>E014</x:v>
      </x:c>
      <x:c r="N48" s="7" t="str">
        <x:v>XML</x:v>
      </x:c>
    </x:row>
    <x:row r="49" ht="54" customHeight="1">
      <x:c r="A49" s="7" t="str">
        <x:v>Q043</x:v>
      </x:c>
      <x:c r="B49" s="7" t="str">
        <x:v>Transport</x:v>
      </x:c>
      <x:c r="C49" s="7" t="str">
        <x:v>Numerical</x:v>
      </x:c>
      <x:c r="D49" s="7" t="str">
        <x:v>What mean autophagosome speed and uncertainty were reported in the supplemental analysis?</x:v>
      </x:c>
      <x:c r="E49" s="7" t="str">
        <x:v>1. 0.45 ± 0.01 µm/s
2. Uncertainty is SEM, with n = 173 vesicles.</x:v>
      </x:c>
      <x:c r="F49" s="9" t="n">
        <x:v>2</x:v>
      </x:c>
      <x:c r="G49" s="14"/>
      <x:c r="H49" s="14"/>
      <x:c r="I49" s="15"/>
      <x:c r="J49" s="15"/>
      <x:c r="K49" s="7" t="str">
        <x:v>Fig. S1 C; Results, distal initiation, paragraph 6</x:v>
      </x:c>
      <x:c r="L49" s="7" t="str">
        <x:v>Direct observation</x:v>
      </x:c>
      <x:c r="M49" s="7" t="str">
        <x:v>S001, E015</x:v>
      </x:c>
      <x:c r="N49" s="7" t="str">
        <x:v>XML+supplement</x:v>
      </x:c>
    </x:row>
    <x:row r="50" ht="54" customHeight="1">
      <x:c r="A50" s="7" t="str">
        <x:v>Q044</x:v>
      </x:c>
      <x:c r="B50" s="7" t="str">
        <x:v>Transport</x:v>
      </x:c>
      <x:c r="C50" s="7" t="str">
        <x:v>Numerical</x:v>
      </x:c>
      <x:c r="D50" s="7" t="str">
        <x:v>How many instantaneous-velocity events contributed to Fig. 2 A?</x:v>
      </x:c>
      <x:c r="E50" s="7" t="str">
        <x:v>1. 8,872 events.</x:v>
      </x:c>
      <x:c r="F50" s="9" t="n">
        <x:v>1</x:v>
      </x:c>
      <x:c r="G50" s="14"/>
      <x:c r="H50" s="14"/>
      <x:c r="I50" s="15"/>
      <x:c r="J50" s="15"/>
      <x:c r="K50" s="7" t="str">
        <x:v>Fig. 2 A legend</x:v>
      </x:c>
      <x:c r="L50" s="7" t="str">
        <x:v>Direct observation</x:v>
      </x:c>
      <x:c r="M50" s="7" t="str">
        <x:v>E016</x:v>
      </x:c>
      <x:c r="N50" s="7" t="str">
        <x:v>XML</x:v>
      </x:c>
    </x:row>
    <x:row r="51" ht="54" customHeight="1">
      <x:c r="A51" s="7" t="str">
        <x:v>Q045</x:v>
      </x:c>
      <x:c r="B51" s="7" t="str">
        <x:v>Transport</x:v>
      </x:c>
      <x:c r="C51" s="7" t="str">
        <x:v>Context</x:v>
      </x:c>
      <x:c r="D51" s="7" t="str">
        <x:v>What was the sampling hierarchy behind the principal tracking dataset?</x:v>
      </x:c>
      <x:c r="E51" s="7" t="str">
        <x:v>1. 173 vesicles from 59 neurons
2. From 12 mice analyzed in 12 separate experiments.</x:v>
      </x:c>
      <x:c r="F51" s="9" t="n">
        <x:v>2</x:v>
      </x:c>
      <x:c r="G51" s="14"/>
      <x:c r="H51" s="14"/>
      <x:c r="I51" s="15"/>
      <x:c r="J51" s="15"/>
      <x:c r="K51" s="7" t="str">
        <x:v>Fig. 2 A legend; Fig. S1 C</x:v>
      </x:c>
      <x:c r="L51" s="7" t="str">
        <x:v>Direct observation</x:v>
      </x:c>
      <x:c r="M51" s="7" t="str">
        <x:v>E016, S001</x:v>
      </x:c>
      <x:c r="N51" s="7" t="str">
        <x:v>XML+supplement</x:v>
      </x:c>
    </x:row>
    <x:row r="52" ht="54" customHeight="1">
      <x:c r="A52" s="7" t="str">
        <x:v>Q046</x:v>
      </x:c>
      <x:c r="B52" s="7" t="str">
        <x:v>Transport</x:v>
      </x:c>
      <x:c r="C52" s="7" t="str">
        <x:v>Numerical</x:v>
      </x:c>
      <x:c r="D52" s="7" t="str">
        <x:v>What was the median reversal frequency and its denominator?</x:v>
      </x:c>
      <x:c r="E52" s="7" t="str">
        <x:v>1. 1.6 reversals per 100 µm
2. n = 173 vesicles.</x:v>
      </x:c>
      <x:c r="F52" s="9" t="n">
        <x:v>2</x:v>
      </x:c>
      <x:c r="G52" s="14"/>
      <x:c r="H52" s="14"/>
      <x:c r="I52" s="15"/>
      <x:c r="J52" s="15"/>
      <x:c r="K52" s="7" t="str">
        <x:v>Fig. 2 B legend</x:v>
      </x:c>
      <x:c r="L52" s="7" t="str">
        <x:v>Direct observation</x:v>
      </x:c>
      <x:c r="M52" s="7" t="str">
        <x:v>E016</x:v>
      </x:c>
      <x:c r="N52" s="7" t="str">
        <x:v>XML</x:v>
      </x:c>
    </x:row>
    <x:row r="53" ht="54" customHeight="1">
      <x:c r="A53" s="7" t="str">
        <x:v>Q047</x:v>
      </x:c>
      <x:c r="B53" s="7" t="str">
        <x:v>Transport</x:v>
      </x:c>
      <x:c r="C53" s="7" t="str">
        <x:v>Numerical</x:v>
      </x:c>
      <x:c r="D53" s="7" t="str">
        <x:v>What was the median reversal length?</x:v>
      </x:c>
      <x:c r="E53" s="7" t="str">
        <x:v>1. 0.3 µm.</x:v>
      </x:c>
      <x:c r="F53" s="9" t="n">
        <x:v>1</x:v>
      </x:c>
      <x:c r="G53" s="14"/>
      <x:c r="H53" s="14"/>
      <x:c r="I53" s="15"/>
      <x:c r="J53" s="15"/>
      <x:c r="K53" s="7" t="str">
        <x:v>Fig. 2 B legend</x:v>
      </x:c>
      <x:c r="L53" s="7" t="str">
        <x:v>Direct observation</x:v>
      </x:c>
      <x:c r="M53" s="7" t="str">
        <x:v>E016</x:v>
      </x:c>
      <x:c r="N53" s="7" t="str">
        <x:v>XML</x:v>
      </x:c>
    </x:row>
    <x:row r="54" ht="54" customHeight="1">
      <x:c r="A54" s="7" t="str">
        <x:v>Q048</x:v>
      </x:c>
      <x:c r="B54" s="7" t="str">
        <x:v>Transport</x:v>
      </x:c>
      <x:c r="C54" s="7" t="str">
        <x:v>Numerical</x:v>
      </x:c>
      <x:c r="D54" s="7" t="str">
        <x:v>What proportion of tracked time was spent paused, and what summary statistic was used?</x:v>
      </x:c>
      <x:c r="E54" s="7" t="str">
        <x:v>1. Approximately 12%
2. This was a median, not a mean.</x:v>
      </x:c>
      <x:c r="F54" s="9" t="n">
        <x:v>2</x:v>
      </x:c>
      <x:c r="G54" s="14"/>
      <x:c r="H54" s="14"/>
      <x:c r="I54" s="15"/>
      <x:c r="J54" s="15"/>
      <x:c r="K54" s="7" t="str">
        <x:v>Results, distal initiation, paragraph 6; Fig. S1 D</x:v>
      </x:c>
      <x:c r="L54" s="7" t="str">
        <x:v>Direct observation</x:v>
      </x:c>
      <x:c r="M54" s="7" t="str">
        <x:v>E015, S001</x:v>
      </x:c>
      <x:c r="N54" s="7" t="str">
        <x:v>XML+supplement</x:v>
      </x:c>
    </x:row>
    <x:row r="55" ht="54" customHeight="1">
      <x:c r="A55" s="7" t="str">
        <x:v>Q049</x:v>
      </x:c>
      <x:c r="B55" s="7" t="str">
        <x:v>Transport</x:v>
      </x:c>
      <x:c r="C55" s="7" t="str">
        <x:v>Relation</x:v>
      </x:c>
      <x:c r="D55" s="7" t="str">
        <x:v>What do the few anterograde steps in tracked retrograde vesicles represent?</x:v>
      </x:c>
      <x:c r="E55" s="7" t="str">
        <x:v>1. Short directional reversals
2. In vesicles whose net motion remained retrograde.</x:v>
      </x:c>
      <x:c r="F55" s="9" t="n">
        <x:v>2</x:v>
      </x:c>
      <x:c r="G55" s="14"/>
      <x:c r="H55" s="14"/>
      <x:c r="I55" s="15"/>
      <x:c r="J55" s="15"/>
      <x:c r="K55" s="7" t="str">
        <x:v>Results, distal initiation, paragraph 6</x:v>
      </x:c>
      <x:c r="L55" s="7" t="str">
        <x:v>Interpretation</x:v>
      </x:c>
      <x:c r="M55" s="7" t="str">
        <x:v>E015</x:v>
      </x:c>
      <x:c r="N55" s="7" t="str">
        <x:v>XML</x:v>
      </x:c>
    </x:row>
    <x:row r="56" ht="54" customHeight="1">
      <x:c r="A56" s="7" t="str">
        <x:v>Q050</x:v>
      </x:c>
      <x:c r="B56" s="7" t="str">
        <x:v>Transport</x:v>
      </x:c>
      <x:c r="C56" s="7" t="str">
        <x:v>Uncertainty</x:v>
      </x:c>
      <x:c r="D56" s="7" t="str">
        <x:v>What did the authors propose might trigger release from the distal bidirectional pool?</x:v>
      </x:c>
      <x:c r="E56" s="7" t="str">
        <x:v>1. Changes in signaling or maturation might trigger release
2. The trigger was not established.</x:v>
      </x:c>
      <x:c r="F56" s="9" t="n">
        <x:v>2</x:v>
      </x:c>
      <x:c r="G56" s="14"/>
      <x:c r="H56" s="14"/>
      <x:c r="I56" s="15"/>
      <x:c r="J56" s="15"/>
      <x:c r="K56" s="7" t="str">
        <x:v>Results, distal initiation, paragraph 8</x:v>
      </x:c>
      <x:c r="L56" s="7" t="str">
        <x:v>Hypothesis</x:v>
      </x:c>
      <x:c r="M56" s="7" t="str">
        <x:v>E017</x:v>
      </x:c>
      <x:c r="N56" s="7" t="str">
        <x:v>XML</x:v>
      </x:c>
    </x:row>
    <x:row r="57" ht="54" customHeight="1">
      <x:c r="A57" s="7" t="str">
        <x:v>Q051</x:v>
      </x:c>
      <x:c r="B57" s="7" t="str">
        <x:v>Transport</x:v>
      </x:c>
      <x:c r="C57" s="7" t="str">
        <x:v>Context</x:v>
      </x:c>
      <x:c r="D57" s="7" t="str">
        <x:v>How did autophagosome movement in the studied neurons differ from movement cited for normal rat kidney and PC12 cells?</x:v>
      </x:c>
      <x:c r="E57" s="7" t="str">
        <x:v>1. The primary-neuron axons showed robust retrograde movement
2. The cited normal rat kidney and PC12 cells showed predominantly bidirectional LC3 motility.</x:v>
      </x:c>
      <x:c r="F57" s="9" t="n">
        <x:v>2</x:v>
      </x:c>
      <x:c r="G57" s="14"/>
      <x:c r="H57" s="14"/>
      <x:c r="I57" s="15"/>
      <x:c r="J57" s="15"/>
      <x:c r="K57" s="7" t="str">
        <x:v>Results, distal initiation, paragraph 8</x:v>
      </x:c>
      <x:c r="L57" s="7" t="str">
        <x:v>Cited background</x:v>
      </x:c>
      <x:c r="M57" s="7" t="str">
        <x:v>E017</x:v>
      </x:c>
      <x:c r="N57" s="7" t="str">
        <x:v>XML</x:v>
      </x:c>
    </x:row>
    <x:row r="58" ht="54" customHeight="1">
      <x:c r="A58" s="7" t="str">
        <x:v>Q052</x:v>
      </x:c>
      <x:c r="B58" s="7" t="str">
        <x:v>Transport</x:v>
      </x:c>
      <x:c r="C58" s="7" t="str">
        <x:v>Provenance</x:v>
      </x:c>
      <x:c r="D58" s="7" t="str">
        <x:v>What sample size and error-bar convention were used for Fig. 1 G?</x:v>
      </x:c>
      <x:c r="E58" s="7" t="str">
        <x:v>1. n = 91 neurites
2. Means ± SEM.</x:v>
      </x:c>
      <x:c r="F58" s="9" t="n">
        <x:v>2</x:v>
      </x:c>
      <x:c r="G58" s="14"/>
      <x:c r="H58" s="14"/>
      <x:c r="I58" s="15"/>
      <x:c r="J58" s="15"/>
      <x:c r="K58" s="7" t="str">
        <x:v>Fig. 1 G legend</x:v>
      </x:c>
      <x:c r="L58" s="7" t="str">
        <x:v>Direct observation</x:v>
      </x:c>
      <x:c r="M58" s="7" t="str">
        <x:v>E011</x:v>
      </x:c>
      <x:c r="N58" s="7" t="str">
        <x:v>XML</x:v>
      </x:c>
    </x:row>
    <x:row r="59" ht="54" customHeight="1">
      <x:c r="A59" s="7" t="str">
        <x:v>Q053</x:v>
      </x:c>
      <x:c r="B59" s="7" t="str">
        <x:v>Transport</x:v>
      </x:c>
      <x:c r="C59" s="7" t="str">
        <x:v>Provenance</x:v>
      </x:c>
      <x:c r="D59" s="7" t="str">
        <x:v>Which displayed direction represents retrograde motion in the figures?</x:v>
      </x:c>
      <x:c r="E59" s="7" t="str">
        <x:v>1. Toward the right
2. Biologically, toward the cell soma.</x:v>
      </x:c>
      <x:c r="F59" s="9" t="n">
        <x:v>2</x:v>
      </x:c>
      <x:c r="G59" s="14"/>
      <x:c r="H59" s="14"/>
      <x:c r="I59" s="15"/>
      <x:c r="J59" s="15"/>
      <x:c r="K59" s="7" t="str">
        <x:v>Fig. 1 legend; Fig. S2 legend</x:v>
      </x:c>
      <x:c r="L59" s="7" t="str">
        <x:v>Definition</x:v>
      </x:c>
      <x:c r="M59" s="7" t="str">
        <x:v>E011, S002</x:v>
      </x:c>
      <x:c r="N59" s="7" t="str">
        <x:v>XML+supplement</x:v>
      </x:c>
    </x:row>
    <x:row r="60" ht="54" customHeight="1">
      <x:c r="A60" s="7" t="str">
        <x:v>Q054</x:v>
      </x:c>
      <x:c r="B60" s="7" t="str">
        <x:v>Motors</x:v>
      </x:c>
      <x:c r="C60" s="7" t="str">
        <x:v>Relation</x:v>
      </x:c>
      <x:c r="D60" s="7" t="str">
        <x:v>Which motor and activator were implicated by the strong retrograde bias?</x:v>
      </x:c>
      <x:c r="E60" s="7" t="str">
        <x:v>1. Cytoplasmic dynein, a microtubule minus-end-directed motor
2. Its activator dynactin.</x:v>
      </x:c>
      <x:c r="F60" s="9" t="n">
        <x:v>2</x:v>
      </x:c>
      <x:c r="G60" s="14"/>
      <x:c r="H60" s="14"/>
      <x:c r="I60" s="15"/>
      <x:c r="J60" s="15"/>
      <x:c r="K60" s="7" t="str">
        <x:v>Results, distal initiation, paragraph 9</x:v>
      </x:c>
      <x:c r="L60" s="7" t="str">
        <x:v>Interpretation</x:v>
      </x:c>
      <x:c r="M60" s="7" t="str">
        <x:v>E018</x:v>
      </x:c>
      <x:c r="N60" s="7" t="str">
        <x:v>XML</x:v>
      </x:c>
    </x:row>
    <x:row r="61" ht="54" customHeight="1">
      <x:c r="A61" s="7" t="str">
        <x:v>Q055</x:v>
      </x:c>
      <x:c r="B61" s="7" t="str">
        <x:v>Motors</x:v>
      </x:c>
      <x:c r="C61" s="7" t="str">
        <x:v>Entity</x:v>
      </x:c>
      <x:c r="D61" s="7" t="str">
        <x:v>Which neuron-specific dynein intermediate-chain reporter co-migrated with autophagosomes?</x:v>
      </x:c>
      <x:c r="E61" s="7" t="str">
        <x:v>1. DIC1B-mCherry
2. DIC1B is the neuron-specific intermediate-chain isoform.</x:v>
      </x:c>
      <x:c r="F61" s="9" t="n">
        <x:v>2</x:v>
      </x:c>
      <x:c r="G61" s="14"/>
      <x:c r="H61" s="14"/>
      <x:c r="I61" s="15"/>
      <x:c r="J61" s="15"/>
      <x:c r="K61" s="7" t="str">
        <x:v>Results, distal initiation, paragraph 9; Fig. 2 C</x:v>
      </x:c>
      <x:c r="L61" s="7" t="str">
        <x:v>Direct observation</x:v>
      </x:c>
      <x:c r="M61" s="7" t="str">
        <x:v>E018, E016</x:v>
      </x:c>
      <x:c r="N61" s="7" t="str">
        <x:v>XML</x:v>
      </x:c>
    </x:row>
    <x:row r="62" ht="54" customHeight="1">
      <x:c r="A62" s="7" t="str">
        <x:v>Q056</x:v>
      </x:c>
      <x:c r="B62" s="7" t="str">
        <x:v>Motors</x:v>
      </x:c>
      <x:c r="C62" s="7" t="str">
        <x:v>Entity</x:v>
      </x:c>
      <x:c r="D62" s="7" t="str">
        <x:v>Which ubiquitously expressed dynein intermediate-chain reporter labeled retrograde autophagosomes?</x:v>
      </x:c>
      <x:c r="E62" s="7" t="str">
        <x:v>1. DIC2C-mCherry
2. DIC2C is ubiquitously expressed.</x:v>
      </x:c>
      <x:c r="F62" s="9" t="n">
        <x:v>2</x:v>
      </x:c>
      <x:c r="G62" s="14"/>
      <x:c r="H62" s="14"/>
      <x:c r="I62" s="15"/>
      <x:c r="J62" s="15"/>
      <x:c r="K62" s="7" t="str">
        <x:v>Results, distal initiation, paragraph 9; Fig. S2 A</x:v>
      </x:c>
      <x:c r="L62" s="7" t="str">
        <x:v>Direct observation</x:v>
      </x:c>
      <x:c r="M62" s="7" t="str">
        <x:v>E018, S002</x:v>
      </x:c>
      <x:c r="N62" s="7" t="str">
        <x:v>XML+supplement</x:v>
      </x:c>
    </x:row>
    <x:row r="63" ht="54" customHeight="1">
      <x:c r="A63" s="7" t="str">
        <x:v>Q057</x:v>
      </x:c>
      <x:c r="B63" s="7" t="str">
        <x:v>Motors</x:v>
      </x:c>
      <x:c r="C63" s="7" t="str">
        <x:v>Relation</x:v>
      </x:c>
      <x:c r="D63" s="7" t="str">
        <x:v>What does dominant-negative CC1 inhibit, and what happened to autophagosome motility when it was expressed?</x:v>
      </x:c>
      <x:c r="E63" s="7" t="str">
        <x:v>1. CC1 disrupts the dynein–dynactin interaction
2. Its expression arrested autophagosome motility.</x:v>
      </x:c>
      <x:c r="F63" s="9" t="n">
        <x:v>2</x:v>
      </x:c>
      <x:c r="G63" s="14"/>
      <x:c r="H63" s="14"/>
      <x:c r="I63" s="15"/>
      <x:c r="J63" s="15"/>
      <x:c r="K63" s="7" t="str">
        <x:v>Results, distal initiation, paragraph 9; Fig. 2 F</x:v>
      </x:c>
      <x:c r="L63" s="7" t="str">
        <x:v>Direct observation</x:v>
      </x:c>
      <x:c r="M63" s="7" t="str">
        <x:v>E018, E016</x:v>
      </x:c>
      <x:c r="N63" s="7" t="str">
        <x:v>XML</x:v>
      </x:c>
    </x:row>
    <x:row r="64" ht="54" customHeight="1">
      <x:c r="A64" s="7" t="str">
        <x:v>Q058</x:v>
      </x:c>
      <x:c r="B64" s="7" t="str">
        <x:v>Motors</x:v>
      </x:c>
      <x:c r="C64" s="7" t="str">
        <x:v>Entity</x:v>
      </x:c>
      <x:c r="D64" s="7" t="str">
        <x:v>From which protein and residue range was the CC1 construct derived?</x:v>
      </x:c>
      <x:c r="E64" s="7" t="str">
        <x:v>1. The CC1 domain of p150Glued
2. Residues E216–Q550.</x:v>
      </x:c>
      <x:c r="F64" s="9" t="n">
        <x:v>2</x:v>
      </x:c>
      <x:c r="G64" s="14"/>
      <x:c r="H64" s="14"/>
      <x:c r="I64" s="15"/>
      <x:c r="J64" s="15"/>
      <x:c r="K64" s="7" t="str">
        <x:v>Materials and methods, Reagents</x:v>
      </x:c>
      <x:c r="L64" s="7" t="str">
        <x:v>Protocol</x:v>
      </x:c>
      <x:c r="M64" s="7" t="str">
        <x:v>E039</x:v>
      </x:c>
      <x:c r="N64" s="7" t="str">
        <x:v>XML</x:v>
      </x:c>
    </x:row>
    <x:row r="65" ht="54" customHeight="1">
      <x:c r="A65" s="7" t="str">
        <x:v>Q059</x:v>
      </x:c>
      <x:c r="B65" s="7" t="str">
        <x:v>Motors</x:v>
      </x:c>
      <x:c r="C65" s="7" t="str">
        <x:v>Relation</x:v>
      </x:c>
      <x:c r="D65" s="7" t="str">
        <x:v>Which anterograde motor families co-migrated with autophagosomes?</x:v>
      </x:c>
      <x:c r="E65" s="7" t="str">
        <x:v>1. Kinesin-1
2. Kinesin-2.</x:v>
      </x:c>
      <x:c r="F65" s="9" t="n">
        <x:v>2</x:v>
      </x:c>
      <x:c r="G65" s="14"/>
      <x:c r="H65" s="14"/>
      <x:c r="I65" s="15"/>
      <x:c r="J65" s="15"/>
      <x:c r="K65" s="7" t="str">
        <x:v>Results, distal initiation, paragraph 9</x:v>
      </x:c>
      <x:c r="L65" s="7" t="str">
        <x:v>Direct observation</x:v>
      </x:c>
      <x:c r="M65" s="7" t="str">
        <x:v>E018</x:v>
      </x:c>
      <x:c r="N65" s="7" t="str">
        <x:v>XML</x:v>
      </x:c>
    </x:row>
    <x:row r="66" ht="54" customHeight="1">
      <x:c r="A66" s="7" t="str">
        <x:v>Q060</x:v>
      </x:c>
      <x:c r="B66" s="7" t="str">
        <x:v>Motors</x:v>
      </x:c>
      <x:c r="C66" s="7" t="str">
        <x:v>Entity</x:v>
      </x:c>
      <x:c r="D66" s="7" t="str">
        <x:v>Which constructs supported the kinesin-1 and kinesin-2 co-migration observations?</x:v>
      </x:c>
      <x:c r="E66" s="7" t="str">
        <x:v>1. mCherry-Kif5C tail for kinesin-1
2. mCherry-Kif3A for kinesin-2.</x:v>
      </x:c>
      <x:c r="F66" s="9" t="n">
        <x:v>2</x:v>
      </x:c>
      <x:c r="G66" s="14"/>
      <x:c r="H66" s="14"/>
      <x:c r="I66" s="15"/>
      <x:c r="J66" s="15"/>
      <x:c r="K66" s="7" t="str">
        <x:v>Fig. 2 D; Fig. S2 B; Reagents</x:v>
      </x:c>
      <x:c r="L66" s="7" t="str">
        <x:v>Direct observation</x:v>
      </x:c>
      <x:c r="M66" s="7" t="str">
        <x:v>E016, S002, E039</x:v>
      </x:c>
      <x:c r="N66" s="7" t="str">
        <x:v>XML+supplement</x:v>
      </x:c>
    </x:row>
    <x:row r="67" ht="54" customHeight="1">
      <x:c r="A67" s="7" t="str">
        <x:v>Q061</x:v>
      </x:c>
      <x:c r="B67" s="7" t="str">
        <x:v>Motors</x:v>
      </x:c>
      <x:c r="C67" s="7" t="str">
        <x:v>Negation</x:v>
      </x:c>
      <x:c r="D67" s="7" t="str">
        <x:v>Did overexpression of the dominant-negative kinesin-1 tail disrupt autophagosome transport?</x:v>
      </x:c>
      <x:c r="E67" s="7" t="str">
        <x:v>1. No; it labeled motile autophagosomes
2. Transport was not disrupted in the reported experiment.</x:v>
      </x:c>
      <x:c r="F67" s="9" t="n">
        <x:v>2</x:v>
      </x:c>
      <x:c r="G67" s="14"/>
      <x:c r="H67" s="14"/>
      <x:c r="I67" s="15"/>
      <x:c r="J67" s="15"/>
      <x:c r="K67" s="7" t="str">
        <x:v>Results, distal initiation, paragraph 9</x:v>
      </x:c>
      <x:c r="L67" s="7" t="str">
        <x:v>Direct observation</x:v>
      </x:c>
      <x:c r="M67" s="7" t="str">
        <x:v>E018</x:v>
      </x:c>
      <x:c r="N67" s="7" t="str">
        <x:v>XML</x:v>
      </x:c>
    </x:row>
    <x:row r="68" ht="54" customHeight="1">
      <x:c r="A68" s="7" t="str">
        <x:v>Q062</x:v>
      </x:c>
      <x:c r="B68" s="7" t="str">
        <x:v>Motors</x:v>
      </x:c>
      <x:c r="C68" s="7" t="str">
        <x:v>Relation</x:v>
      </x:c>
      <x:c r="D68" s="7" t="str">
        <x:v>Which motor-associated proteins copurified with isolated autophagosomes?</x:v>
      </x:c>
      <x:c r="E68" s="7" t="str">
        <x:v>1. Dynein and dynactin
2. Kinesin-1 and kinesin-2.</x:v>
      </x:c>
      <x:c r="F68" s="9" t="n">
        <x:v>2</x:v>
      </x:c>
      <x:c r="G68" s="14"/>
      <x:c r="H68" s="14"/>
      <x:c r="I68" s="15"/>
      <x:c r="J68" s="15"/>
      <x:c r="K68" s="7" t="str">
        <x:v>Results, distal initiation, paragraph 10; Fig. 2 E</x:v>
      </x:c>
      <x:c r="L68" s="7" t="str">
        <x:v>Direct observation</x:v>
      </x:c>
      <x:c r="M68" s="7" t="str">
        <x:v>E019, E016</x:v>
      </x:c>
      <x:c r="N68" s="7" t="str">
        <x:v>XML</x:v>
      </x:c>
    </x:row>
    <x:row r="69" ht="54" customHeight="1">
      <x:c r="A69" s="7" t="str">
        <x:v>Q063</x:v>
      </x:c>
      <x:c r="B69" s="7" t="str">
        <x:v>Motors</x:v>
      </x:c>
      <x:c r="C69" s="7" t="str">
        <x:v>Context</x:v>
      </x:c>
      <x:c r="D69" s="7" t="str">
        <x:v>From what tissue were the biochemically isolated autophagosome-enriched fractions prepared?</x:v>
      </x:c>
      <x:c r="E69" s="7" t="str">
        <x:v>1. Brains of GFP-LC3 transgenic mice
2. These were not purified directly from the live-imaged DRG axons.</x:v>
      </x:c>
      <x:c r="F69" s="9" t="n">
        <x:v>2</x:v>
      </x:c>
      <x:c r="G69" s="14"/>
      <x:c r="H69" s="14"/>
      <x:c r="I69" s="15"/>
      <x:c r="J69" s="15"/>
      <x:c r="K69" s="7" t="str">
        <x:v>Materials and methods, Biochemistry</x:v>
      </x:c>
      <x:c r="L69" s="7" t="str">
        <x:v>Protocol</x:v>
      </x:c>
      <x:c r="M69" s="7" t="str">
        <x:v>E050</x:v>
      </x:c>
      <x:c r="N69" s="7" t="str">
        <x:v>XML</x:v>
      </x:c>
    </x:row>
    <x:row r="70" ht="54" customHeight="1">
      <x:c r="A70" s="7" t="str">
        <x:v>Q064</x:v>
      </x:c>
      <x:c r="B70" s="7" t="str">
        <x:v>Motors</x:v>
      </x:c>
      <x:c r="C70" s="7" t="str">
        <x:v>Context</x:v>
      </x:c>
      <x:c r="D70" s="7" t="str">
        <x:v>Which gradient procedures were compared for autophagosome enrichment?</x:v>
      </x:c>
      <x:c r="E70" s="7" t="str">
        <x:v>1. A one-step gradient adapted from Morvan et al. (2009)
2. A three-step gradient adapted from Strømhaug et al. (1998).</x:v>
      </x:c>
      <x:c r="F70" s="9" t="n">
        <x:v>2</x:v>
      </x:c>
      <x:c r="G70" s="14"/>
      <x:c r="H70" s="14"/>
      <x:c r="I70" s="15"/>
      <x:c r="J70" s="15"/>
      <x:c r="K70" s="7" t="str">
        <x:v>Fig. 2 E legend; Biochemistry</x:v>
      </x:c>
      <x:c r="L70" s="7" t="str">
        <x:v>Protocol</x:v>
      </x:c>
      <x:c r="M70" s="7" t="str">
        <x:v>E016, E050</x:v>
      </x:c>
      <x:c r="N70" s="7" t="str">
        <x:v>XML</x:v>
      </x:c>
    </x:row>
    <x:row r="71" ht="54" customHeight="1">
      <x:c r="A71" s="7" t="str">
        <x:v>Q065</x:v>
      </x:c>
      <x:c r="B71" s="7" t="str">
        <x:v>Motors</x:v>
      </x:c>
      <x:c r="C71" s="7" t="str">
        <x:v>Relation</x:v>
      </x:c>
      <x:c r="D71" s="7" t="str">
        <x:v>Which LC3 form was more effectively selected by the three-step gradient?</x:v>
      </x:c>
      <x:c r="E71" s="7" t="str">
        <x:v>1. Lipidated LC3-II
2. LC3-II is membrane associated, whereas LC3-I is cytosolic.</x:v>
      </x:c>
      <x:c r="F71" s="9" t="n">
        <x:v>2</x:v>
      </x:c>
      <x:c r="G71" s="14"/>
      <x:c r="H71" s="14"/>
      <x:c r="I71" s="15"/>
      <x:c r="J71" s="15"/>
      <x:c r="K71" s="7" t="str">
        <x:v>Fig. 2 E legend</x:v>
      </x:c>
      <x:c r="L71" s="7" t="str">
        <x:v>Direct observation</x:v>
      </x:c>
      <x:c r="M71" s="7" t="str">
        <x:v>E016</x:v>
      </x:c>
      <x:c r="N71" s="7" t="str">
        <x:v>XML</x:v>
      </x:c>
    </x:row>
    <x:row r="72" ht="54" customHeight="1">
      <x:c r="A72" s="7" t="str">
        <x:v>Q066</x:v>
      </x:c>
      <x:c r="B72" s="7" t="str">
        <x:v>Motors</x:v>
      </x:c>
      <x:c r="C72" s="7" t="str">
        <x:v>Uncertainty</x:v>
      </x:c>
      <x:c r="D72" s="7" t="str">
        <x:v>Why should relative motor band intensities across the gradients not be treated as exact motor stoichiometries?</x:v>
      </x:c>
      <x:c r="E72" s="7" t="str">
        <x:v>1. Motors may not be quantitatively retained through the three-step gradient
2. The experiment does not establish exact motor numbers per autophagosome.</x:v>
      </x:c>
      <x:c r="F72" s="9" t="n">
        <x:v>2</x:v>
      </x:c>
      <x:c r="G72" s="14"/>
      <x:c r="H72" s="14"/>
      <x:c r="I72" s="15"/>
      <x:c r="J72" s="15"/>
      <x:c r="K72" s="7" t="str">
        <x:v>Fig. 2 E legend</x:v>
      </x:c>
      <x:c r="L72" s="7" t="str">
        <x:v>Limitation</x:v>
      </x:c>
      <x:c r="M72" s="7" t="str">
        <x:v>E016</x:v>
      </x:c>
      <x:c r="N72" s="7" t="str">
        <x:v>XML</x:v>
      </x:c>
    </x:row>
    <x:row r="73" ht="54" customHeight="1">
      <x:c r="A73" s="7" t="str">
        <x:v>Q067</x:v>
      </x:c>
      <x:c r="B73" s="7" t="str">
        <x:v>Motors</x:v>
      </x:c>
      <x:c r="C73" s="7" t="str">
        <x:v>Uncertainty</x:v>
      </x:c>
      <x:c r="D73" s="7" t="str">
        <x:v>Could some copurifying motors have been inside autophagosomes rather than on their surface?</x:v>
      </x:c>
      <x:c r="E73" s="7" t="str">
        <x:v>1. Yes; some motor internalization during formation could not be excluded
2. Copurification alone does not locate every motor on the cytosolic surface.</x:v>
      </x:c>
      <x:c r="F73" s="9" t="n">
        <x:v>2</x:v>
      </x:c>
      <x:c r="G73" s="14"/>
      <x:c r="H73" s="14"/>
      <x:c r="I73" s="15"/>
      <x:c r="J73" s="15"/>
      <x:c r="K73" s="7" t="str">
        <x:v>Results, distal initiation, paragraph 10</x:v>
      </x:c>
      <x:c r="L73" s="7" t="str">
        <x:v>Limitation</x:v>
      </x:c>
      <x:c r="M73" s="7" t="str">
        <x:v>E019</x:v>
      </x:c>
      <x:c r="N73" s="7" t="str">
        <x:v>XML</x:v>
      </x:c>
    </x:row>
    <x:row r="74" ht="54" customHeight="1">
      <x:c r="A74" s="7" t="str">
        <x:v>Q068</x:v>
      </x:c>
      <x:c r="B74" s="7" t="str">
        <x:v>Motors</x:v>
      </x:c>
      <x:c r="C74" s="7" t="str">
        <x:v>Relation</x:v>
      </x:c>
      <x:c r="D74" s="7" t="str">
        <x:v>What evidence supported a functionally relevant motor pool on the cytosolic face of autophagosomes?</x:v>
      </x:c>
      <x:c r="E74" s="7" t="str">
        <x:v>1. CC1 expression arrested motility
2. The authors interpreted this functional effect as demonstrating cytosol-facing motor attachment.</x:v>
      </x:c>
      <x:c r="F74" s="9" t="n">
        <x:v>2</x:v>
      </x:c>
      <x:c r="G74" s="14"/>
      <x:c r="H74" s="14"/>
      <x:c r="I74" s="15"/>
      <x:c r="J74" s="15"/>
      <x:c r="K74" s="7" t="str">
        <x:v>Results, distal initiation, paragraphs 9–10</x:v>
      </x:c>
      <x:c r="L74" s="7" t="str">
        <x:v>Interpretation</x:v>
      </x:c>
      <x:c r="M74" s="7" t="str">
        <x:v>E019, E018</x:v>
      </x:c>
      <x:c r="N74" s="7" t="str">
        <x:v>XML</x:v>
      </x:c>
    </x:row>
    <x:row r="75" ht="54" customHeight="1">
      <x:c r="A75" s="7" t="str">
        <x:v>Q069</x:v>
      </x:c>
      <x:c r="B75" s="7" t="str">
        <x:v>Motors</x:v>
      </x:c>
      <x:c r="C75" s="7" t="str">
        <x:v>Uncertainty</x:v>
      </x:c>
      <x:c r="D75" s="7" t="str">
        <x:v>How did the authors explain retrograde transport despite associated kinesin motors?</x:v>
      </x:c>
      <x:c r="E75" s="7" t="str">
        <x:v>1. Anterograde motor activity is proposed to be tightly regulated or down-regulated
2. Dynein can therefore drive robust retrograde motility while kinesins remain associated.</x:v>
      </x:c>
      <x:c r="F75" s="9" t="n">
        <x:v>2</x:v>
      </x:c>
      <x:c r="G75" s="14"/>
      <x:c r="H75" s="14"/>
      <x:c r="I75" s="15"/>
      <x:c r="J75" s="15"/>
      <x:c r="K75" s="7" t="str">
        <x:v>Results, motor discussion; maturation model</x:v>
      </x:c>
      <x:c r="L75" s="7" t="str">
        <x:v>Hypothesis</x:v>
      </x:c>
      <x:c r="M75" s="7" t="str">
        <x:v>E019, E036</x:v>
      </x:c>
      <x:c r="N75" s="7" t="str">
        <x:v>XML</x:v>
      </x:c>
    </x:row>
    <x:row r="76" ht="54" customHeight="1">
      <x:c r="A76" s="7" t="str">
        <x:v>Q070</x:v>
      </x:c>
      <x:c r="B76" s="7" t="str">
        <x:v>Motors</x:v>
      </x:c>
      <x:c r="C76" s="7" t="str">
        <x:v>Uncertainty</x:v>
      </x:c>
      <x:c r="D76" s="7" t="str">
        <x:v>What motor-regulation mechanism was proposed for the return to bidirectional movement after acidification?</x:v>
      </x:c>
      <x:c r="E76" s="7" t="str">
        <x:v>1. Activation of already associated kinesin motors may contribute
2. Regulation may change bound-motor activity rather than require motor recruitment or dissociation.</x:v>
      </x:c>
      <x:c r="F76" s="9" t="n">
        <x:v>2</x:v>
      </x:c>
      <x:c r="G76" s="14"/>
      <x:c r="H76" s="14"/>
      <x:c r="I76" s="15"/>
      <x:c r="J76" s="15"/>
      <x:c r="K76" s="7" t="str">
        <x:v>Results, maturation model, final paragraph</x:v>
      </x:c>
      <x:c r="L76" s="7" t="str">
        <x:v>Hypothesis</x:v>
      </x:c>
      <x:c r="M76" s="7" t="str">
        <x:v>E036</x:v>
      </x:c>
      <x:c r="N76" s="7" t="str">
        <x:v>XML</x:v>
      </x:c>
    </x:row>
    <x:row r="77" ht="54" customHeight="1">
      <x:c r="A77" s="7" t="str">
        <x:v>Q071</x:v>
      </x:c>
      <x:c r="B77" s="7" t="str">
        <x:v>Motors</x:v>
      </x:c>
      <x:c r="C77" s="7" t="str">
        <x:v>Context</x:v>
      </x:c>
      <x:c r="D77" s="7" t="str">
        <x:v>Why can a slight red-signal lead over green in Fig. 2 C not by itself establish that dynein precedes LC3 biologically?</x:v>
      </x:c>
      <x:c r="E77" s="7" t="str">
        <x:v>1. Green and red images were acquired consecutively
2. The acquisition delay can make the red signal appear to precede the green signal.</x:v>
      </x:c>
      <x:c r="F77" s="9" t="n">
        <x:v>2</x:v>
      </x:c>
      <x:c r="G77" s="14"/>
      <x:c r="H77" s="14"/>
      <x:c r="I77" s="15"/>
      <x:c r="J77" s="15"/>
      <x:c r="K77" s="7" t="str">
        <x:v>Fig. 2 C legend; Live-cell imaging</x:v>
      </x:c>
      <x:c r="L77" s="7" t="str">
        <x:v>Limitation</x:v>
      </x:c>
      <x:c r="M77" s="7" t="str">
        <x:v>E016, E044, E045</x:v>
      </x:c>
      <x:c r="N77" s="7" t="str">
        <x:v>XML</x:v>
      </x:c>
    </x:row>
    <x:row r="78" ht="54" customHeight="1">
      <x:c r="A78" s="7" t="str">
        <x:v>Q072</x:v>
      </x:c>
      <x:c r="B78" s="7" t="str">
        <x:v>Cargo</x:v>
      </x:c>
      <x:c r="C78" s="7" t="str">
        <x:v>Entity</x:v>
      </x:c>
      <x:c r="D78" s="7" t="str">
        <x:v>Which mitochondrial marker was used to test for organelle cargo?</x:v>
      </x:c>
      <x:c r="E78" s="7" t="str">
        <x:v>1. DsRed2-mito.</x:v>
      </x:c>
      <x:c r="F78" s="9" t="n">
        <x:v>1</x:v>
      </x:c>
      <x:c r="G78" s="14"/>
      <x:c r="H78" s="14"/>
      <x:c r="I78" s="15"/>
      <x:c r="J78" s="15"/>
      <x:c r="K78" s="7" t="str">
        <x:v>Results, constitutive cargo transport, paragraph 1</x:v>
      </x:c>
      <x:c r="L78" s="7" t="str">
        <x:v>Direct observation</x:v>
      </x:c>
      <x:c r="M78" s="7" t="str">
        <x:v>E021</x:v>
      </x:c>
      <x:c r="N78" s="7" t="str">
        <x:v>XML</x:v>
      </x:c>
    </x:row>
    <x:row r="79" ht="54" customHeight="1">
      <x:c r="A79" s="7" t="str">
        <x:v>Q073</x:v>
      </x:c>
      <x:c r="B79" s="7" t="str">
        <x:v>Cargo</x:v>
      </x:c>
      <x:c r="C79" s="7" t="str">
        <x:v>Relation</x:v>
      </x:c>
      <x:c r="D79" s="7" t="str">
        <x:v>What mitochondrial material co-migrated with autophagosomes?</x:v>
      </x:c>
      <x:c r="E79" s="7" t="str">
        <x:v>1. Mitochondrial fragments
2. They were distinct from the larger tubular mitochondria.</x:v>
      </x:c>
      <x:c r="F79" s="9" t="n">
        <x:v>2</x:v>
      </x:c>
      <x:c r="G79" s="14"/>
      <x:c r="H79" s="14"/>
      <x:c r="I79" s="15"/>
      <x:c r="J79" s="15"/>
      <x:c r="K79" s="7" t="str">
        <x:v>Results, constitutive cargo transport, paragraph 1</x:v>
      </x:c>
      <x:c r="L79" s="7" t="str">
        <x:v>Direct observation</x:v>
      </x:c>
      <x:c r="M79" s="7" t="str">
        <x:v>E021</x:v>
      </x:c>
      <x:c r="N79" s="7" t="str">
        <x:v>XML</x:v>
      </x:c>
    </x:row>
    <x:row r="80" ht="54" customHeight="1">
      <x:c r="A80" s="7" t="str">
        <x:v>Q074</x:v>
      </x:c>
      <x:c r="B80" s="7" t="str">
        <x:v>Cargo</x:v>
      </x:c>
      <x:c r="C80" s="7" t="str">
        <x:v>Numerical</x:v>
      </x:c>
      <x:c r="D80" s="7" t="str">
        <x:v>What fraction of axonal autophagosomes was double labeled with the mitochondrial marker?</x:v>
      </x:c>
      <x:c r="E80" s="7" t="str">
        <x:v>1. Approximately 10–20%.</x:v>
      </x:c>
      <x:c r="F80" s="9" t="n">
        <x:v>1</x:v>
      </x:c>
      <x:c r="G80" s="14"/>
      <x:c r="H80" s="14"/>
      <x:c r="I80" s="15"/>
      <x:c r="J80" s="15"/>
      <x:c r="K80" s="7" t="str">
        <x:v>Results, constitutive cargo transport, paragraph 1</x:v>
      </x:c>
      <x:c r="L80" s="7" t="str">
        <x:v>Direct observation</x:v>
      </x:c>
      <x:c r="M80" s="7" t="str">
        <x:v>E021</x:v>
      </x:c>
      <x:c r="N80" s="7" t="str">
        <x:v>XML</x:v>
      </x:c>
    </x:row>
    <x:row r="81" ht="54" customHeight="1">
      <x:c r="A81" s="7" t="str">
        <x:v>Q075</x:v>
      </x:c>
      <x:c r="B81" s="7" t="str">
        <x:v>Cargo</x:v>
      </x:c>
      <x:c r="C81" s="7" t="str">
        <x:v>Context</x:v>
      </x:c>
      <x:c r="D81" s="7" t="str">
        <x:v>How did the larger tubular mitochondria usually move?</x:v>
      </x:c>
      <x:c r="E81" s="7" t="str">
        <x:v>1. They were predominantly stationary or bidirectional.</x:v>
      </x:c>
      <x:c r="F81" s="9" t="n">
        <x:v>1</x:v>
      </x:c>
      <x:c r="G81" s="14"/>
      <x:c r="H81" s="14"/>
      <x:c r="I81" s="15"/>
      <x:c r="J81" s="15"/>
      <x:c r="K81" s="7" t="str">
        <x:v>Results, constitutive cargo transport, paragraph 1</x:v>
      </x:c>
      <x:c r="L81" s="7" t="str">
        <x:v>Direct observation</x:v>
      </x:c>
      <x:c r="M81" s="7" t="str">
        <x:v>E021</x:v>
      </x:c>
      <x:c r="N81" s="7" t="str">
        <x:v>XML</x:v>
      </x:c>
    </x:row>
    <x:row r="82" ht="54" customHeight="1">
      <x:c r="A82" s="7" t="str">
        <x:v>Q076</x:v>
      </x:c>
      <x:c r="B82" s="7" t="str">
        <x:v>Cargo</x:v>
      </x:c>
      <x:c r="C82" s="7" t="str">
        <x:v>Uncertainty</x:v>
      </x:c>
      <x:c r="D82" s="7" t="str">
        <x:v>How did the authors interpret the low frequency of mitochondrial cargo?</x:v>
      </x:c>
      <x:c r="E82" s="7" t="str">
        <x:v>1. It was consistent with low basal organelle autophagy
2. They suggested most axonal mitochondria were healthy and not targeted for degradation; this was an interpretation.</x:v>
      </x:c>
      <x:c r="F82" s="9" t="n">
        <x:v>2</x:v>
      </x:c>
      <x:c r="G82" s="14"/>
      <x:c r="H82" s="14"/>
      <x:c r="I82" s="15"/>
      <x:c r="J82" s="15"/>
      <x:c r="K82" s="7" t="str">
        <x:v>Results, constitutive cargo transport, paragraphs 1 and 4</x:v>
      </x:c>
      <x:c r="L82" s="7" t="str">
        <x:v>Interpretation</x:v>
      </x:c>
      <x:c r="M82" s="7" t="str">
        <x:v>E021, E025</x:v>
      </x:c>
      <x:c r="N82" s="7" t="str">
        <x:v>XML</x:v>
      </x:c>
    </x:row>
    <x:row r="83" ht="54" customHeight="1">
      <x:c r="A83" s="7" t="str">
        <x:v>Q077</x:v>
      </x:c>
      <x:c r="B83" s="7" t="str">
        <x:v>Cargo</x:v>
      </x:c>
      <x:c r="C83" s="7" t="str">
        <x:v>Relation</x:v>
      </x:c>
      <x:c r="D83" s="7" t="str">
        <x:v>How common was RFP-Ub labeling among autophagosomes traveling along the axon?</x:v>
      </x:c>
      <x:c r="E83" s="7" t="str">
        <x:v>1. Nearly all were positive for RFP-Ub.</x:v>
      </x:c>
      <x:c r="F83" s="9" t="n">
        <x:v>1</x:v>
      </x:c>
      <x:c r="G83" s="14"/>
      <x:c r="H83" s="14"/>
      <x:c r="I83" s="15"/>
      <x:c r="J83" s="15"/>
      <x:c r="K83" s="7" t="str">
        <x:v>Results, constitutive cargo transport, paragraph 2</x:v>
      </x:c>
      <x:c r="L83" s="7" t="str">
        <x:v>Direct observation</x:v>
      </x:c>
      <x:c r="M83" s="7" t="str">
        <x:v>E023</x:v>
      </x:c>
      <x:c r="N83" s="7" t="str">
        <x:v>XML</x:v>
      </x:c>
    </x:row>
    <x:row r="84" ht="54" customHeight="1">
      <x:c r="A84" s="7" t="str">
        <x:v>Q078</x:v>
      </x:c>
      <x:c r="B84" s="7" t="str">
        <x:v>Cargo</x:v>
      </x:c>
      <x:c r="C84" s="7" t="str">
        <x:v>Context</x:v>
      </x:c>
      <x:c r="D84" s="7" t="str">
        <x:v>How did RFP-Ub appear in distal autophagosome rings?</x:v>
      </x:c>
      <x:c r="E84" s="7" t="str">
        <x:v>1. Distal rings were also RFP-Ub positive
2. Only a few had a concentrated signal.</x:v>
      </x:c>
      <x:c r="F84" s="9" t="n">
        <x:v>2</x:v>
      </x:c>
      <x:c r="G84" s="14"/>
      <x:c r="H84" s="14"/>
      <x:c r="I84" s="15"/>
      <x:c r="J84" s="15"/>
      <x:c r="K84" s="7" t="str">
        <x:v>Results, constitutive cargo transport, paragraph 2</x:v>
      </x:c>
      <x:c r="L84" s="7" t="str">
        <x:v>Direct observation</x:v>
      </x:c>
      <x:c r="M84" s="7" t="str">
        <x:v>E023</x:v>
      </x:c>
      <x:c r="N84" s="7" t="str">
        <x:v>XML</x:v>
      </x:c>
    </x:row>
    <x:row r="85" ht="54" customHeight="1">
      <x:c r="A85" s="7" t="str">
        <x:v>Q079</x:v>
      </x:c>
      <x:c r="B85" s="7" t="str">
        <x:v>Cargo</x:v>
      </x:c>
      <x:c r="C85" s="7" t="str">
        <x:v>Relation</x:v>
      </x:c>
      <x:c r="D85" s="7" t="str">
        <x:v>What FRAP result supported RFP-Ub internalization rather than free exchange with cytosol?</x:v>
      </x:c>
      <x:c r="E85" s="7" t="str">
        <x:v>1. The cytosol regained fluorescence
2. The autophagosome lumen remained bleached, indicating a nonexchangeable internal pool.</x:v>
      </x:c>
      <x:c r="F85" s="9" t="n">
        <x:v>2</x:v>
      </x:c>
      <x:c r="G85" s="14"/>
      <x:c r="H85" s="14"/>
      <x:c r="I85" s="15"/>
      <x:c r="J85" s="15"/>
      <x:c r="K85" s="7" t="str">
        <x:v>Results, constitutive cargo transport, paragraph 2; Fig. 3 C</x:v>
      </x:c>
      <x:c r="L85" s="7" t="str">
        <x:v>Direct observation</x:v>
      </x:c>
      <x:c r="M85" s="7" t="str">
        <x:v>E023, E022</x:v>
      </x:c>
      <x:c r="N85" s="7" t="str">
        <x:v>XML</x:v>
      </x:c>
    </x:row>
    <x:row r="86" ht="54" customHeight="1">
      <x:c r="A86" s="7" t="str">
        <x:v>Q080</x:v>
      </x:c>
      <x:c r="B86" s="7" t="str">
        <x:v>Cargo</x:v>
      </x:c>
      <x:c r="C86" s="7" t="str">
        <x:v>Entity</x:v>
      </x:c>
      <x:c r="D86" s="7" t="str">
        <x:v>Which disease-linked SOD1 variant was tested as cargo?</x:v>
      </x:c>
      <x:c r="E86" s="7" t="str">
        <x:v>1. SOD1G93A
2. An ALS-linked variant that forms aggregates in vivo.</x:v>
      </x:c>
      <x:c r="F86" s="9" t="n">
        <x:v>2</x:v>
      </x:c>
      <x:c r="G86" s="14"/>
      <x:c r="H86" s="14"/>
      <x:c r="I86" s="15"/>
      <x:c r="J86" s="15"/>
      <x:c r="K86" s="7" t="str">
        <x:v>Results, constitutive cargo transport, paragraph 3</x:v>
      </x:c>
      <x:c r="L86" s="7" t="str">
        <x:v>Context</x:v>
      </x:c>
      <x:c r="M86" s="7" t="str">
        <x:v>E024</x:v>
      </x:c>
      <x:c r="N86" s="7" t="str">
        <x:v>XML</x:v>
      </x:c>
    </x:row>
    <x:row r="87" ht="54" customHeight="1">
      <x:c r="A87" s="7" t="str">
        <x:v>Q081</x:v>
      </x:c>
      <x:c r="B87" s="7" t="str">
        <x:v>Cargo</x:v>
      </x:c>
      <x:c r="C87" s="7" t="str">
        <x:v>Uncertainty</x:v>
      </x:c>
      <x:c r="D87" s="7" t="str">
        <x:v>What was the distribution of transfected mCherry-SOD1G93A in DRG neurons?</x:v>
      </x:c>
      <x:c r="E87" s="7" t="str">
        <x:v>1. It was predominantly cytosolic
2. Motile puncta were also present and may represent aggregates.</x:v>
      </x:c>
      <x:c r="F87" s="9" t="n">
        <x:v>2</x:v>
      </x:c>
      <x:c r="G87" s="14"/>
      <x:c r="H87" s="14"/>
      <x:c r="I87" s="15"/>
      <x:c r="J87" s="15"/>
      <x:c r="K87" s="7" t="str">
        <x:v>Results, constitutive cargo transport, paragraph 3</x:v>
      </x:c>
      <x:c r="L87" s="7" t="str">
        <x:v>Direct observation</x:v>
      </x:c>
      <x:c r="M87" s="7" t="str">
        <x:v>E024</x:v>
      </x:c>
      <x:c r="N87" s="7" t="str">
        <x:v>XML</x:v>
      </x:c>
    </x:row>
    <x:row r="88" ht="54" customHeight="1">
      <x:c r="A88" s="7" t="str">
        <x:v>Q082</x:v>
      </x:c>
      <x:c r="B88" s="7" t="str">
        <x:v>Cargo</x:v>
      </x:c>
      <x:c r="C88" s="7" t="str">
        <x:v>Relation</x:v>
      </x:c>
      <x:c r="D88" s="7" t="str">
        <x:v>How common was mCherry-SOD1G93A labeling of axonal autophagosomes?</x:v>
      </x:c>
      <x:c r="E88" s="7" t="str">
        <x:v>1. Nearly all axonal autophagosomes were positive.</x:v>
      </x:c>
      <x:c r="F88" s="9" t="n">
        <x:v>1</x:v>
      </x:c>
      <x:c r="G88" s="14"/>
      <x:c r="H88" s="14"/>
      <x:c r="I88" s="15"/>
      <x:c r="J88" s="15"/>
      <x:c r="K88" s="7" t="str">
        <x:v>Results, constitutive cargo transport, paragraph 3</x:v>
      </x:c>
      <x:c r="L88" s="7" t="str">
        <x:v>Direct observation</x:v>
      </x:c>
      <x:c r="M88" s="7" t="str">
        <x:v>E024</x:v>
      </x:c>
      <x:c r="N88" s="7" t="str">
        <x:v>XML</x:v>
      </x:c>
    </x:row>
    <x:row r="89" ht="54" customHeight="1">
      <x:c r="A89" s="7" t="str">
        <x:v>Q083</x:v>
      </x:c>
      <x:c r="B89" s="7" t="str">
        <x:v>Cargo</x:v>
      </x:c>
      <x:c r="C89" s="7" t="str">
        <x:v>Relation</x:v>
      </x:c>
      <x:c r="D89" s="7" t="str">
        <x:v>What FRAP result supported internalization of mCherry-SOD1G93A, and where was it observed?</x:v>
      </x:c>
      <x:c r="E89" s="7" t="str">
        <x:v>1. Autophagosomes failed to recover mCherry-SOD1G93A fluorescence
2. This occurred both distally and along the axon.</x:v>
      </x:c>
      <x:c r="F89" s="9" t="n">
        <x:v>2</x:v>
      </x:c>
      <x:c r="G89" s="14"/>
      <x:c r="H89" s="14"/>
      <x:c r="I89" s="15"/>
      <x:c r="J89" s="15"/>
      <x:c r="K89" s="7" t="str">
        <x:v>Results, constitutive cargo transport, paragraph 3; Fig. 3 E–F</x:v>
      </x:c>
      <x:c r="L89" s="7" t="str">
        <x:v>Direct observation</x:v>
      </x:c>
      <x:c r="M89" s="7" t="str">
        <x:v>E024, E022</x:v>
      </x:c>
      <x:c r="N89" s="7" t="str">
        <x:v>XML</x:v>
      </x:c>
    </x:row>
    <x:row r="90" ht="54" customHeight="1">
      <x:c r="A90" s="7" t="str">
        <x:v>Q084</x:v>
      </x:c>
      <x:c r="B90" s="7" t="str">
        <x:v>Cargo</x:v>
      </x:c>
      <x:c r="C90" s="7" t="str">
        <x:v>Temporal</x:v>
      </x:c>
      <x:c r="D90" s="7" t="str">
        <x:v>When were RFP-Ub and mCherry-SOD1G93A thought to be engulfed, and what supported that inference?</x:v>
      </x:c>
      <x:c r="E90" s="7" t="str">
        <x:v>1. Likely during autophagosome formation
2. Both were already present in distal as well as axonal autophagosomes.</x:v>
      </x:c>
      <x:c r="F90" s="9" t="n">
        <x:v>2</x:v>
      </x:c>
      <x:c r="G90" s="14"/>
      <x:c r="H90" s="14"/>
      <x:c r="I90" s="15"/>
      <x:c r="J90" s="15"/>
      <x:c r="K90" s="7" t="str">
        <x:v>Results, constitutive cargo transport, paragraph 4</x:v>
      </x:c>
      <x:c r="L90" s="7" t="str">
        <x:v>Interpretation</x:v>
      </x:c>
      <x:c r="M90" s="7" t="str">
        <x:v>E025</x:v>
      </x:c>
      <x:c r="N90" s="7" t="str">
        <x:v>XML</x:v>
      </x:c>
    </x:row>
    <x:row r="91" ht="54" customHeight="1">
      <x:c r="A91" s="7" t="str">
        <x:v>Q085</x:v>
      </x:c>
      <x:c r="B91" s="7" t="str">
        <x:v>Cargo</x:v>
      </x:c>
      <x:c r="C91" s="7" t="str">
        <x:v>Relation</x:v>
      </x:c>
      <x:c r="D91" s="7" t="str">
        <x:v>What control observation supported constitutive capture of soluble cytosolic proteins?</x:v>
      </x:c>
      <x:c r="E91" s="7" t="str">
        <x:v>1. mCherry alone was also engulfed into autophagosomes
2. This supported constitutive cytosolic-protein uptake.</x:v>
      </x:c>
      <x:c r="F91" s="9" t="n">
        <x:v>2</x:v>
      </x:c>
      <x:c r="G91" s="14"/>
      <x:c r="H91" s="14"/>
      <x:c r="I91" s="15"/>
      <x:c r="J91" s="15"/>
      <x:c r="K91" s="7" t="str">
        <x:v>Results, constitutive cargo transport, paragraph 4</x:v>
      </x:c>
      <x:c r="L91" s="7" t="str">
        <x:v>Direct observation</x:v>
      </x:c>
      <x:c r="M91" s="7" t="str">
        <x:v>E025</x:v>
      </x:c>
      <x:c r="N91" s="7" t="str">
        <x:v>XML</x:v>
      </x:c>
    </x:row>
    <x:row r="92" ht="54" customHeight="1">
      <x:c r="A92" s="7" t="str">
        <x:v>Q086</x:v>
      </x:c>
      <x:c r="B92" s="7" t="str">
        <x:v>Cargo</x:v>
      </x:c>
      <x:c r="C92" s="7" t="str">
        <x:v>Negation</x:v>
      </x:c>
      <x:c r="D92" s="7" t="str">
        <x:v>Which Golgi marker was tested, and was its incorporation observed?</x:v>
      </x:c>
      <x:c r="E92" s="7" t="str">
        <x:v>1. GPP130-mCherry
2. Its incorporation into autophagosomes was not observed.</x:v>
      </x:c>
      <x:c r="F92" s="9" t="n">
        <x:v>2</x:v>
      </x:c>
      <x:c r="G92" s="14"/>
      <x:c r="H92" s="14"/>
      <x:c r="I92" s="15"/>
      <x:c r="J92" s="15"/>
      <x:c r="K92" s="7" t="str">
        <x:v>Results, constitutive cargo transport, paragraph 4; Fig. S2 C</x:v>
      </x:c>
      <x:c r="L92" s="7" t="str">
        <x:v>Direct observation</x:v>
      </x:c>
      <x:c r="M92" s="7" t="str">
        <x:v>E025, S002</x:v>
      </x:c>
      <x:c r="N92" s="7" t="str">
        <x:v>XML+supplement</x:v>
      </x:c>
    </x:row>
    <x:row r="93" ht="54" customHeight="1">
      <x:c r="A93" s="7" t="str">
        <x:v>Q087</x:v>
      </x:c>
      <x:c r="B93" s="7" t="str">
        <x:v>Cargo</x:v>
      </x:c>
      <x:c r="C93" s="7" t="str">
        <x:v>Uncertainty</x:v>
      </x:c>
      <x:c r="D93" s="7" t="str">
        <x:v>Does SOD1G93A positivity establish that autophagosomes selectively engulf SOD1 aggregates?</x:v>
      </x:c>
      <x:c r="E93" s="7" t="str">
        <x:v>1. No; the reporter was predominantly cytosolic and mCherry alone was also engulfed
2. The observations establish uptake, not selective engulfment of aggregates.</x:v>
      </x:c>
      <x:c r="F93" s="9" t="n">
        <x:v>2</x:v>
      </x:c>
      <x:c r="G93" s="14"/>
      <x:c r="H93" s="14"/>
      <x:c r="I93" s="15"/>
      <x:c r="J93" s="15"/>
      <x:c r="K93" s="7" t="str">
        <x:v>Results, constitutive cargo transport, paragraphs 3–4</x:v>
      </x:c>
      <x:c r="L93" s="7" t="str">
        <x:v>Limitation</x:v>
      </x:c>
      <x:c r="M93" s="7" t="str">
        <x:v>E024, E025</x:v>
      </x:c>
      <x:c r="N93" s="7" t="str">
        <x:v>XML</x:v>
      </x:c>
    </x:row>
    <x:row r="94" ht="54" customHeight="1">
      <x:c r="A94" s="7" t="str">
        <x:v>Q088</x:v>
      </x:c>
      <x:c r="B94" s="7" t="str">
        <x:v>Disease model</x:v>
      </x:c>
      <x:c r="C94" s="7" t="str">
        <x:v>Entity</x:v>
      </x:c>
      <x:c r="D94" s="7" t="str">
        <x:v>How was the fALS reporter mouse model generated?</x:v>
      </x:c>
      <x:c r="E94" s="7" t="str">
        <x:v>1. GFP-LC3 transgenic mice were crossed with transgenic mice overexpressing SOD1G93A.</x:v>
      </x:c>
      <x:c r="F94" s="9" t="n">
        <x:v>1</x:v>
      </x:c>
      <x:c r="G94" s="14"/>
      <x:c r="H94" s="14"/>
      <x:c r="I94" s="15"/>
      <x:c r="J94" s="15"/>
      <x:c r="K94" s="7" t="str">
        <x:v>Results, cargo transport, paragraph 5; GFP-LC3 × SOD1G93A cross</x:v>
      </x:c>
      <x:c r="L94" s="7" t="str">
        <x:v>Protocol</x:v>
      </x:c>
      <x:c r="M94" s="7" t="str">
        <x:v>E026, E041</x:v>
      </x:c>
      <x:c r="N94" s="7" t="str">
        <x:v>XML</x:v>
      </x:c>
    </x:row>
    <x:row r="95" ht="54" customHeight="1">
      <x:c r="A95" s="7" t="str">
        <x:v>Q089</x:v>
      </x:c>
      <x:c r="B95" s="7" t="str">
        <x:v>Disease model</x:v>
      </x:c>
      <x:c r="C95" s="7" t="str">
        <x:v>Context</x:v>
      </x:c>
      <x:c r="D95" s="7" t="str">
        <x:v>At what approximate ages were early- and late-stage disease neurons imaged?</x:v>
      </x:c>
      <x:c r="E95" s="7" t="str">
        <x:v>1. Early/onset: approximately 3 months
2. Late stage: approximately 4 months.</x:v>
      </x:c>
      <x:c r="F95" s="9" t="n">
        <x:v>2</x:v>
      </x:c>
      <x:c r="G95" s="14"/>
      <x:c r="H95" s="14"/>
      <x:c r="I95" s="15"/>
      <x:c r="J95" s="15"/>
      <x:c r="K95" s="7" t="str">
        <x:v>Results, cargo transport, paragraph 5; Fig. S3</x:v>
      </x:c>
      <x:c r="L95" s="7" t="str">
        <x:v>Protocol</x:v>
      </x:c>
      <x:c r="M95" s="7" t="str">
        <x:v>E026, S003</x:v>
      </x:c>
      <x:c r="N95" s="7" t="str">
        <x:v>XML+supplement</x:v>
      </x:c>
    </x:row>
    <x:row r="96" ht="54" customHeight="1">
      <x:c r="A96" s="7" t="str">
        <x:v>Q090</x:v>
      </x:c>
      <x:c r="B96" s="7" t="str">
        <x:v>Disease model</x:v>
      </x:c>
      <x:c r="C96" s="7" t="str">
        <x:v>Numerical</x:v>
      </x:c>
      <x:c r="D96" s="7" t="str">
        <x:v>What more precise disease-stage ages were given in the methods?</x:v>
      </x:c>
      <x:c r="E96" s="7" t="str">
        <x:v>1. Early stage: 84 days
2. Late stage: mean 125 days.</x:v>
      </x:c>
      <x:c r="F96" s="9" t="n">
        <x:v>2</x:v>
      </x:c>
      <x:c r="G96" s="14"/>
      <x:c r="H96" s="14"/>
      <x:c r="I96" s="15"/>
      <x:c r="J96" s="15"/>
      <x:c r="K96" s="7" t="str">
        <x:v>Materials and methods, GFP-LC3 × SOD1G93A cross</x:v>
      </x:c>
      <x:c r="L96" s="7" t="str">
        <x:v>Protocol</x:v>
      </x:c>
      <x:c r="M96" s="7" t="str">
        <x:v>E041</x:v>
      </x:c>
      <x:c r="N96" s="7" t="str">
        <x:v>XML</x:v>
      </x:c>
    </x:row>
    <x:row r="97" ht="54" customHeight="1">
      <x:c r="A97" s="7" t="str">
        <x:v>Q091</x:v>
      </x:c>
      <x:c r="B97" s="7" t="str">
        <x:v>Disease model</x:v>
      </x:c>
      <x:c r="C97" s="7" t="str">
        <x:v>Context</x:v>
      </x:c>
      <x:c r="D97" s="7" t="str">
        <x:v>What criterion defined late-stage disease?</x:v>
      </x:c>
      <x:c r="E97" s="7" t="str">
        <x:v>1. The Jackson Laboratory neurological scoring system
2. A score of 3.</x:v>
      </x:c>
      <x:c r="F97" s="9" t="n">
        <x:v>2</x:v>
      </x:c>
      <x:c r="G97" s="14"/>
      <x:c r="H97" s="14"/>
      <x:c r="I97" s="15"/>
      <x:c r="J97" s="15"/>
      <x:c r="K97" s="7" t="str">
        <x:v>Materials and methods, GFP-LC3 × SOD1G93A cross</x:v>
      </x:c>
      <x:c r="L97" s="7" t="str">
        <x:v>Protocol</x:v>
      </x:c>
      <x:c r="M97" s="7" t="str">
        <x:v>E041</x:v>
      </x:c>
      <x:c r="N97" s="7" t="str">
        <x:v>XML</x:v>
      </x:c>
    </x:row>
    <x:row r="98" ht="54" customHeight="1">
      <x:c r="A98" s="7" t="str">
        <x:v>Q092</x:v>
      </x:c>
      <x:c r="B98" s="7" t="str">
        <x:v>Disease model</x:v>
      </x:c>
      <x:c r="C98" s="7" t="str">
        <x:v>Context</x:v>
      </x:c>
      <x:c r="D98" s="7" t="str">
        <x:v>What controls were used for the SOD1G93A cross experiments?</x:v>
      </x:c>
      <x:c r="E98" s="7" t="str">
        <x:v>1. Age-matched littermates.</x:v>
      </x:c>
      <x:c r="F98" s="9" t="n">
        <x:v>1</x:v>
      </x:c>
      <x:c r="G98" s="14"/>
      <x:c r="H98" s="14"/>
      <x:c r="I98" s="15"/>
      <x:c r="J98" s="15"/>
      <x:c r="K98" s="7" t="str">
        <x:v>GFP-LC3 × SOD1G93A cross; Fig. S3</x:v>
      </x:c>
      <x:c r="L98" s="7" t="str">
        <x:v>Protocol</x:v>
      </x:c>
      <x:c r="M98" s="7" t="str">
        <x:v>E041, S003</x:v>
      </x:c>
      <x:c r="N98" s="7" t="str">
        <x:v>XML+supplement</x:v>
      </x:c>
    </x:row>
    <x:row r="99" ht="54" customHeight="1">
      <x:c r="A99" s="7" t="str">
        <x:v>Q093</x:v>
      </x:c>
      <x:c r="B99" s="7" t="str">
        <x:v>Disease model</x:v>
      </x:c>
      <x:c r="C99" s="7" t="str">
        <x:v>Relation</x:v>
      </x:c>
      <x:c r="D99" s="7" t="str">
        <x:v>What pathological material accumulated in the axons of the fALS model?</x:v>
      </x:c>
      <x:c r="E99" s="7" t="str">
        <x:v>1. SOD1G93A aggregates
2. Fig. S3 A shows SOD1-immunopositive axonal aggregates at late-stage disease.</x:v>
      </x:c>
      <x:c r="F99" s="9" t="n">
        <x:v>2</x:v>
      </x:c>
      <x:c r="G99" s="14"/>
      <x:c r="H99" s="14"/>
      <x:c r="I99" s="15"/>
      <x:c r="J99" s="15"/>
      <x:c r="K99" s="7" t="str">
        <x:v>Results, cargo transport, paragraph 5; Fig. S3 A</x:v>
      </x:c>
      <x:c r="L99" s="7" t="str">
        <x:v>Direct observation</x:v>
      </x:c>
      <x:c r="M99" s="7" t="str">
        <x:v>E026, S003</x:v>
      </x:c>
      <x:c r="N99" s="7" t="str">
        <x:v>XML+supplement</x:v>
      </x:c>
    </x:row>
    <x:row r="100" ht="54" customHeight="1">
      <x:c r="A100" s="7" t="str">
        <x:v>Q094</x:v>
      </x:c>
      <x:c r="B100" s="7" t="str">
        <x:v>Disease model</x:v>
      </x:c>
      <x:c r="C100" s="7" t="str">
        <x:v>Negation</x:v>
      </x:c>
      <x:c r="D100" s="7" t="str">
        <x:v>What happened to autophagosome transport at late-stage disease despite aggregate accumulation?</x:v>
      </x:c>
      <x:c r="E100" s="7" t="str">
        <x:v>1. It remained robust and directed retrogradely
2. The authors did not observe inhibition of the transport pathway in this model.</x:v>
      </x:c>
      <x:c r="F100" s="9" t="n">
        <x:v>2</x:v>
      </x:c>
      <x:c r="G100" s="14"/>
      <x:c r="H100" s="14"/>
      <x:c r="I100" s="15"/>
      <x:c r="J100" s="15"/>
      <x:c r="K100" s="7" t="str">
        <x:v>Results, cargo transport, paragraph 5; Fig. S3 B–E</x:v>
      </x:c>
      <x:c r="L100" s="7" t="str">
        <x:v>Direct observation</x:v>
      </x:c>
      <x:c r="M100" s="7" t="str">
        <x:v>E026, S003</x:v>
      </x:c>
      <x:c r="N100" s="7" t="str">
        <x:v>XML+supplement</x:v>
      </x:c>
    </x:row>
    <x:row r="101" ht="54" customHeight="1">
      <x:c r="A101" s="7" t="str">
        <x:v>Q095</x:v>
      </x:c>
      <x:c r="B101" s="7" t="str">
        <x:v>Disease model</x:v>
      </x:c>
      <x:c r="C101" s="7" t="str">
        <x:v>Negation</x:v>
      </x:c>
      <x:c r="D101" s="7" t="str">
        <x:v>Did autophagosome formation, density or axonal flux change significantly in the fALS model?</x:v>
      </x:c>
      <x:c r="E101" s="7" t="str">
        <x:v>1. No significant changes were observed in formation
2. No significant changes were observed in density or flux.</x:v>
      </x:c>
      <x:c r="F101" s="9" t="n">
        <x:v>2</x:v>
      </x:c>
      <x:c r="G101" s="14"/>
      <x:c r="H101" s="14"/>
      <x:c r="I101" s="15"/>
      <x:c r="J101" s="15"/>
      <x:c r="K101" s="7" t="str">
        <x:v>Results, cargo transport, paragraph 5; Fig. S3 F–G</x:v>
      </x:c>
      <x:c r="L101" s="7" t="str">
        <x:v>Direct observation</x:v>
      </x:c>
      <x:c r="M101" s="7" t="str">
        <x:v>E026, S003</x:v>
      </x:c>
      <x:c r="N101" s="7" t="str">
        <x:v>XML+supplement</x:v>
      </x:c>
    </x:row>
    <x:row r="102" ht="54" customHeight="1">
      <x:c r="A102" s="7" t="str">
        <x:v>Q096</x:v>
      </x:c>
      <x:c r="B102" s="7" t="str">
        <x:v>Disease model</x:v>
      </x:c>
      <x:c r="C102" s="7" t="str">
        <x:v>Negation</x:v>
      </x:c>
      <x:c r="D102" s="7" t="str">
        <x:v>Did mutant SOD1 expression alter the mean axonal autophagosome velocity?</x:v>
      </x:c>
      <x:c r="E102" s="7" t="str">
        <x:v>1. No effect on mean velocity was reported
2. Robust retrograde movement was preserved.</x:v>
      </x:c>
      <x:c r="F102" s="9" t="n">
        <x:v>2</x:v>
      </x:c>
      <x:c r="G102" s="14"/>
      <x:c r="H102" s="14"/>
      <x:c r="I102" s="15"/>
      <x:c r="J102" s="15"/>
      <x:c r="K102" s="7" t="str">
        <x:v>Fig. S3 E</x:v>
      </x:c>
      <x:c r="L102" s="7" t="str">
        <x:v>Direct observation</x:v>
      </x:c>
      <x:c r="M102" s="7" t="str">
        <x:v>S003, E026</x:v>
      </x:c>
      <x:c r="N102" s="7" t="str">
        <x:v>XML+supplement</x:v>
      </x:c>
    </x:row>
    <x:row r="103" ht="54" customHeight="1">
      <x:c r="A103" s="7" t="str">
        <x:v>Q097</x:v>
      </x:c>
      <x:c r="B103" s="7" t="str">
        <x:v>Disease model</x:v>
      </x:c>
      <x:c r="C103" s="7" t="str">
        <x:v>Numerical</x:v>
      </x:c>
      <x:c r="D103" s="7" t="str">
        <x:v>What sample size was reported for directional motility, density and flux in Fig. S3?</x:v>
      </x:c>
      <x:c r="E103" s="7" t="str">
        <x:v>1. n = 40–50 neurites for directional motility (D)
2. n = 40–50 neurites for density and flux (F–G).</x:v>
      </x:c>
      <x:c r="F103" s="9" t="n">
        <x:v>2</x:v>
      </x:c>
      <x:c r="G103" s="14"/>
      <x:c r="H103" s="14"/>
      <x:c r="I103" s="15"/>
      <x:c r="J103" s="15"/>
      <x:c r="K103" s="7" t="str">
        <x:v>Fig. S3 D, F–G legend</x:v>
      </x:c>
      <x:c r="L103" s="7" t="str">
        <x:v>Direct observation</x:v>
      </x:c>
      <x:c r="M103" s="7" t="str">
        <x:v>S003</x:v>
      </x:c>
      <x:c r="N103" s="7" t="str">
        <x:v>XML+supplement</x:v>
      </x:c>
    </x:row>
    <x:row r="104" ht="54" customHeight="1">
      <x:c r="A104" s="7" t="str">
        <x:v>Q098</x:v>
      </x:c>
      <x:c r="B104" s="7" t="str">
        <x:v>Disease model</x:v>
      </x:c>
      <x:c r="C104" s="7" t="str">
        <x:v>Numerical</x:v>
      </x:c>
      <x:c r="D104" s="7" t="str">
        <x:v>What n range and error-bar convention were reported for the Fig. S3 velocity analysis?</x:v>
      </x:c>
      <x:c r="E104" s="7" t="str">
        <x:v>1. n = 78–104 for panel E
2. Error bars are means ± SEM.</x:v>
      </x:c>
      <x:c r="F104" s="9" t="n">
        <x:v>2</x:v>
      </x:c>
      <x:c r="G104" s="14"/>
      <x:c r="H104" s="14"/>
      <x:c r="I104" s="15"/>
      <x:c r="J104" s="15"/>
      <x:c r="K104" s="7" t="str">
        <x:v>Fig. S3 E legend</x:v>
      </x:c>
      <x:c r="L104" s="7" t="str">
        <x:v>Direct observation</x:v>
      </x:c>
      <x:c r="M104" s="7" t="str">
        <x:v>S003</x:v>
      </x:c>
      <x:c r="N104" s="7" t="str">
        <x:v>XML+supplement</x:v>
      </x:c>
    </x:row>
    <x:row r="105" ht="54" customHeight="1">
      <x:c r="A105" s="7" t="str">
        <x:v>Q099</x:v>
      </x:c>
      <x:c r="B105" s="7" t="str">
        <x:v>Disease model</x:v>
      </x:c>
      <x:c r="C105" s="7" t="str">
        <x:v>Uncertainty</x:v>
      </x:c>
      <x:c r="D105" s="7" t="str">
        <x:v>What was the authors' conclusion about up-regulating autophagy in response to aggregate accumulation in this model?</x:v>
      </x:c>
      <x:c r="E105" s="7" t="str">
        <x:v>1. The pathway remained constitutive and robust
2. Autophagosome flux was not increased despite aggregate accumulation, suggesting inefficient up-regulation in this context.</x:v>
      </x:c>
      <x:c r="F105" s="9" t="n">
        <x:v>2</x:v>
      </x:c>
      <x:c r="G105" s="14"/>
      <x:c r="H105" s="14"/>
      <x:c r="I105" s="15"/>
      <x:c r="J105" s="15"/>
      <x:c r="K105" s="7" t="str">
        <x:v>Introduction, final paragraph; disease-model results; Fig. S3</x:v>
      </x:c>
      <x:c r="L105" s="7" t="str">
        <x:v>Interpretation</x:v>
      </x:c>
      <x:c r="M105" s="7" t="str">
        <x:v>E006, E026, S003</x:v>
      </x:c>
      <x:c r="N105" s="7" t="str">
        <x:v>XML+supplement</x:v>
      </x:c>
    </x:row>
    <x:row r="106" ht="54" customHeight="1">
      <x:c r="A106" s="7" t="str">
        <x:v>Q100</x:v>
      </x:c>
      <x:c r="B106" s="7" t="str">
        <x:v>Disease model</x:v>
      </x:c>
      <x:c r="C106" s="7" t="str">
        <x:v>Context</x:v>
      </x:c>
      <x:c r="D106" s="7" t="str">
        <x:v>Does the fALS experiment establish that autophagosome dynamics are normal in all ALS neurons and patients?</x:v>
      </x:c>
      <x:c r="E106" s="7" t="str">
        <x:v>1. No
2. It concerns cultured mouse DRG neurons in this SOD1G93A overexpression model at the studied disease stages.</x:v>
      </x:c>
      <x:c r="F106" s="9" t="n">
        <x:v>2</x:v>
      </x:c>
      <x:c r="G106" s="14"/>
      <x:c r="H106" s="14"/>
      <x:c r="I106" s="15"/>
      <x:c r="J106" s="15"/>
      <x:c r="K106" s="7" t="str">
        <x:v>Disease-model results and methods; Fig. S3</x:v>
      </x:c>
      <x:c r="L106" s="7" t="str">
        <x:v>Limitation</x:v>
      </x:c>
      <x:c r="M106" s="7" t="str">
        <x:v>E026, E041, S003</x:v>
      </x:c>
      <x:c r="N106" s="7" t="str">
        <x:v>XML+supplement</x:v>
      </x:c>
    </x:row>
    <x:row r="107" ht="54" customHeight="1">
      <x:c r="A107" s="7" t="str">
        <x:v>Q101</x:v>
      </x:c>
      <x:c r="B107" s="7" t="str">
        <x:v>Maturation</x:v>
      </x:c>
      <x:c r="C107" s="7" t="str">
        <x:v>Entity</x:v>
      </x:c>
      <x:c r="D107" s="7" t="str">
        <x:v>Which late-endosome/lysosome membrane reporter was used to investigate fusion-associated maturation?</x:v>
      </x:c>
      <x:c r="E107" s="7" t="str">
        <x:v>1. LAMP1-RFP
2. LAMP1 is lysosomal-associated membrane protein 1.</x:v>
      </x:c>
      <x:c r="F107" s="9" t="n">
        <x:v>2</x:v>
      </x:c>
      <x:c r="G107" s="14"/>
      <x:c r="H107" s="14"/>
      <x:c r="I107" s="15"/>
      <x:c r="J107" s="15"/>
      <x:c r="K107" s="7" t="str">
        <x:v>Results, maturation, paragraph 1</x:v>
      </x:c>
      <x:c r="L107" s="7" t="str">
        <x:v>Protocol</x:v>
      </x:c>
      <x:c r="M107" s="7" t="str">
        <x:v>E028</x:v>
      </x:c>
      <x:c r="N107" s="7" t="str">
        <x:v>XML</x:v>
      </x:c>
    </x:row>
    <x:row r="108" ht="54" customHeight="1">
      <x:c r="A108" s="7" t="str">
        <x:v>Q102</x:v>
      </x:c>
      <x:c r="B108" s="7" t="str">
        <x:v>Maturation</x:v>
      </x:c>
      <x:c r="C108" s="7" t="str">
        <x:v>Numerical</x:v>
      </x:c>
      <x:c r="D108" s="7" t="str">
        <x:v>How much distal GFP-LC3/LAMP1-RFP colocalization was reported?</x:v>
      </x:c>
      <x:c r="E108" s="7" t="str">
        <x:v>1. Approximately 10%
2. Both markers were enriched in the same distal bulbs but did not colocalize extensively.</x:v>
      </x:c>
      <x:c r="F108" s="9" t="n">
        <x:v>2</x:v>
      </x:c>
      <x:c r="G108" s="14"/>
      <x:c r="H108" s="14"/>
      <x:c r="I108" s="15"/>
      <x:c r="J108" s="15"/>
      <x:c r="K108" s="7" t="str">
        <x:v>Results, maturation, paragraph 1; Fig. 4 A</x:v>
      </x:c>
      <x:c r="L108" s="7" t="str">
        <x:v>Direct observation</x:v>
      </x:c>
      <x:c r="M108" s="7" t="str">
        <x:v>E028</x:v>
      </x:c>
      <x:c r="N108" s="7" t="str">
        <x:v>XML</x:v>
      </x:c>
    </x:row>
    <x:row r="109" ht="54" customHeight="1">
      <x:c r="A109" s="7" t="str">
        <x:v>Q103</x:v>
      </x:c>
      <x:c r="B109" s="7" t="str">
        <x:v>Maturation</x:v>
      </x:c>
      <x:c r="C109" s="7" t="str">
        <x:v>Numerical</x:v>
      </x:c>
      <x:c r="D109" s="7" t="str">
        <x:v>How much GFP-LC3/LAMP1-RFP colocalization was reported in retrogradely moving axonal autophagosomes?</x:v>
      </x:c>
      <x:c r="E109" s="7" t="str">
        <x:v>1. Approximately 97%.</x:v>
      </x:c>
      <x:c r="F109" s="9" t="n">
        <x:v>1</x:v>
      </x:c>
      <x:c r="G109" s="14"/>
      <x:c r="H109" s="14"/>
      <x:c r="I109" s="15"/>
      <x:c r="J109" s="15"/>
      <x:c r="K109" s="7" t="str">
        <x:v>Results, maturation, paragraph 1; Fig. 4 B</x:v>
      </x:c>
      <x:c r="L109" s="7" t="str">
        <x:v>Direct observation</x:v>
      </x:c>
      <x:c r="M109" s="7" t="str">
        <x:v>E028</x:v>
      </x:c>
      <x:c r="N109" s="7" t="str">
        <x:v>XML</x:v>
      </x:c>
    </x:row>
    <x:row r="110" ht="54" customHeight="1">
      <x:c r="A110" s="7" t="str">
        <x:v>Q104</x:v>
      </x:c>
      <x:c r="B110" s="7" t="str">
        <x:v>Maturation</x:v>
      </x:c>
      <x:c r="C110" s="7" t="str">
        <x:v>Uncertainty</x:v>
      </x:c>
      <x:c r="D110" s="7" t="str">
        <x:v>What did the distal-to-axon change in LAMP1 labeling suggest?</x:v>
      </x:c>
      <x:c r="E110" s="7" t="str">
        <x:v>1. Autophagosomes acquire late-endosome/lysosome markers as they leave the distal tip
2. This is consistent with fusion occurring distally.</x:v>
      </x:c>
      <x:c r="F110" s="9" t="n">
        <x:v>2</x:v>
      </x:c>
      <x:c r="G110" s="14"/>
      <x:c r="H110" s="14"/>
      <x:c r="I110" s="15"/>
      <x:c r="J110" s="15"/>
      <x:c r="K110" s="7" t="str">
        <x:v>Results, maturation, paragraph 1</x:v>
      </x:c>
      <x:c r="L110" s="7" t="str">
        <x:v>Interpretation</x:v>
      </x:c>
      <x:c r="M110" s="7" t="str">
        <x:v>E028</x:v>
      </x:c>
      <x:c r="N110" s="7" t="str">
        <x:v>XML</x:v>
      </x:c>
    </x:row>
    <x:row r="111" ht="54" customHeight="1">
      <x:c r="A111" s="7" t="str">
        <x:v>Q105</x:v>
      </x:c>
      <x:c r="B111" s="7" t="str">
        <x:v>Maturation</x:v>
      </x:c>
      <x:c r="C111" s="7" t="str">
        <x:v>Entity</x:v>
      </x:c>
      <x:c r="D111" s="7" t="str">
        <x:v>What property does LysoTracker red preferentially report?</x:v>
      </x:c>
      <x:c r="E111" s="7" t="str">
        <x:v>1. Acidic organelles.</x:v>
      </x:c>
      <x:c r="F111" s="9" t="n">
        <x:v>1</x:v>
      </x:c>
      <x:c r="G111" s="14"/>
      <x:c r="H111" s="14"/>
      <x:c r="I111" s="15"/>
      <x:c r="J111" s="15"/>
      <x:c r="K111" s="7" t="str">
        <x:v>Results, maturation, paragraph 2</x:v>
      </x:c>
      <x:c r="L111" s="7" t="str">
        <x:v>Protocol</x:v>
      </x:c>
      <x:c r="M111" s="7" t="str">
        <x:v>E030</x:v>
      </x:c>
      <x:c r="N111" s="7" t="str">
        <x:v>XML</x:v>
      </x:c>
    </x:row>
    <x:row r="112" ht="54" customHeight="1">
      <x:c r="A112" s="7" t="str">
        <x:v>Q106</x:v>
      </x:c>
      <x:c r="B112" s="7" t="str">
        <x:v>Maturation</x:v>
      </x:c>
      <x:c r="C112" s="7" t="str">
        <x:v>Relation</x:v>
      </x:c>
      <x:c r="D112" s="7" t="str">
        <x:v>Which endosomal markers did LysoTracker-positive compartments associate with?</x:v>
      </x:c>
      <x:c r="E112" s="7" t="str">
        <x:v>1. They colocalized with Rab7, a late-endosome/lysosome marker
2. They were largely negative for Rab5, an early-endosome marker.</x:v>
      </x:c>
      <x:c r="F112" s="9" t="n">
        <x:v>2</x:v>
      </x:c>
      <x:c r="G112" s="14"/>
      <x:c r="H112" s="14"/>
      <x:c r="I112" s="15"/>
      <x:c r="J112" s="15"/>
      <x:c r="K112" s="7" t="str">
        <x:v>Results, maturation, paragraph 2; Fig. S2 D–E</x:v>
      </x:c>
      <x:c r="L112" s="7" t="str">
        <x:v>Direct observation</x:v>
      </x:c>
      <x:c r="M112" s="7" t="str">
        <x:v>E030, S002</x:v>
      </x:c>
      <x:c r="N112" s="7" t="str">
        <x:v>XML+supplement</x:v>
      </x:c>
    </x:row>
    <x:row r="113" ht="54" customHeight="1">
      <x:c r="A113" s="7" t="str">
        <x:v>Q107</x:v>
      </x:c>
      <x:c r="B113" s="7" t="str">
        <x:v>Maturation</x:v>
      </x:c>
      <x:c r="C113" s="7" t="str">
        <x:v>Numerical</x:v>
      </x:c>
      <x:c r="D113" s="7" t="str">
        <x:v>What fraction of distal autophagosome rings was LysoTracker red positive?</x:v>
      </x:c>
      <x:c r="E113" s="7" t="str">
        <x:v>1. Approximately 30–40%
2. The majority were negative.</x:v>
      </x:c>
      <x:c r="F113" s="9" t="n">
        <x:v>2</x:v>
      </x:c>
      <x:c r="G113" s="14"/>
      <x:c r="H113" s="14"/>
      <x:c r="I113" s="15"/>
      <x:c r="J113" s="15"/>
      <x:c r="K113" s="7" t="str">
        <x:v>Results, maturation, paragraph 2; Fig. 4 C</x:v>
      </x:c>
      <x:c r="L113" s="7" t="str">
        <x:v>Direct observation</x:v>
      </x:c>
      <x:c r="M113" s="7" t="str">
        <x:v>E030</x:v>
      </x:c>
      <x:c r="N113" s="7" t="str">
        <x:v>XML</x:v>
      </x:c>
    </x:row>
    <x:row r="114" ht="54" customHeight="1">
      <x:c r="A114" s="7" t="str">
        <x:v>Q108</x:v>
      </x:c>
      <x:c r="B114" s="7" t="str">
        <x:v>Maturation</x:v>
      </x:c>
      <x:c r="C114" s="7" t="str">
        <x:v>Numerical</x:v>
      </x:c>
      <x:c r="D114" s="7" t="str">
        <x:v>What fraction of axonal autophagosomes was LysoTracker red positive?</x:v>
      </x:c>
      <x:c r="E114" s="7" t="str">
        <x:v>1. Approximately 96%.</x:v>
      </x:c>
      <x:c r="F114" s="9" t="n">
        <x:v>1</x:v>
      </x:c>
      <x:c r="G114" s="14"/>
      <x:c r="H114" s="14"/>
      <x:c r="I114" s="15"/>
      <x:c r="J114" s="15"/>
      <x:c r="K114" s="7" t="str">
        <x:v>Results, maturation, paragraph 2; Fig. 4 D</x:v>
      </x:c>
      <x:c r="L114" s="7" t="str">
        <x:v>Direct observation</x:v>
      </x:c>
      <x:c r="M114" s="7" t="str">
        <x:v>E030</x:v>
      </x:c>
      <x:c r="N114" s="7" t="str">
        <x:v>XML</x:v>
      </x:c>
    </x:row>
    <x:row r="115" ht="54" customHeight="1">
      <x:c r="A115" s="7" t="str">
        <x:v>Q109</x:v>
      </x:c>
      <x:c r="B115" s="7" t="str">
        <x:v>Maturation</x:v>
      </x:c>
      <x:c r="C115" s="7" t="str">
        <x:v>Uncertainty</x:v>
      </x:c>
      <x:c r="D115" s="7" t="str">
        <x:v>What did the LysoTracker gradient suggest about the timing of acidification?</x:v>
      </x:c>
      <x:c r="E115" s="7" t="str">
        <x:v>1. Acidification accompanies exit from the distal neurite
2. It is consistent with effective fusion with late endosomes or lysosomes.</x:v>
      </x:c>
      <x:c r="F115" s="9" t="n">
        <x:v>2</x:v>
      </x:c>
      <x:c r="G115" s="14"/>
      <x:c r="H115" s="14"/>
      <x:c r="I115" s="15"/>
      <x:c r="J115" s="15"/>
      <x:c r="K115" s="7" t="str">
        <x:v>Results, maturation, paragraph 2</x:v>
      </x:c>
      <x:c r="L115" s="7" t="str">
        <x:v>Interpretation</x:v>
      </x:c>
      <x:c r="M115" s="7" t="str">
        <x:v>E030</x:v>
      </x:c>
      <x:c r="N115" s="7" t="str">
        <x:v>XML</x:v>
      </x:c>
    </x:row>
    <x:row r="116" ht="54" customHeight="1">
      <x:c r="A116" s="7" t="str">
        <x:v>Q110</x:v>
      </x:c>
      <x:c r="B116" s="7" t="str">
        <x:v>Maturation</x:v>
      </x:c>
      <x:c r="C116" s="7" t="str">
        <x:v>Entity</x:v>
      </x:c>
      <x:c r="D116" s="7" t="str">
        <x:v>Which tandem fluorescent reporter was used for the maturation assay?</x:v>
      </x:c>
      <x:c r="E116" s="7" t="str">
        <x:v>1. mCherry-EGFP-LC3.</x:v>
      </x:c>
      <x:c r="F116" s="9" t="n">
        <x:v>1</x:v>
      </x:c>
      <x:c r="G116" s="14"/>
      <x:c r="H116" s="14"/>
      <x:c r="I116" s="15"/>
      <x:c r="J116" s="15"/>
      <x:c r="K116" s="7" t="str">
        <x:v>Results, maturation, paragraph 3</x:v>
      </x:c>
      <x:c r="L116" s="7" t="str">
        <x:v>Protocol</x:v>
      </x:c>
      <x:c r="M116" s="7" t="str">
        <x:v>E031</x:v>
      </x:c>
      <x:c r="N116" s="7" t="str">
        <x:v>XML</x:v>
      </x:c>
    </x:row>
    <x:row r="117" ht="54" customHeight="1">
      <x:c r="A117" s="7" t="str">
        <x:v>Q111</x:v>
      </x:c>
      <x:c r="B117" s="7" t="str">
        <x:v>Maturation</x:v>
      </x:c>
      <x:c r="C117" s="7" t="str">
        <x:v>Relation</x:v>
      </x:c>
      <x:c r="D117" s="7" t="str">
        <x:v>How should yellow versus red-only signal from the tandem LC3 reporter be interpreted?</x:v>
      </x:c>
      <x:c r="E117" s="7" t="str">
        <x:v>1. Both mCherry and EGFP fluoresce before stronger acidification, producing yellow in merged images
2. Acidification preferentially quenches EGFP, leaving mCherry-only red fluorescence.</x:v>
      </x:c>
      <x:c r="F117" s="9" t="n">
        <x:v>2</x:v>
      </x:c>
      <x:c r="G117" s="14"/>
      <x:c r="H117" s="14"/>
      <x:c r="I117" s="15"/>
      <x:c r="J117" s="15"/>
      <x:c r="K117" s="7" t="str">
        <x:v>Results, maturation, paragraph 3; Fig. 5 A</x:v>
      </x:c>
      <x:c r="L117" s="7" t="str">
        <x:v>Definition</x:v>
      </x:c>
      <x:c r="M117" s="7" t="str">
        <x:v>E031, E032</x:v>
      </x:c>
      <x:c r="N117" s="7" t="str">
        <x:v>XML</x:v>
      </x:c>
    </x:row>
    <x:row r="118" ht="54" customHeight="1">
      <x:c r="A118" s="7" t="str">
        <x:v>Q112</x:v>
      </x:c>
      <x:c r="B118" s="7" t="str">
        <x:v>Maturation</x:v>
      </x:c>
      <x:c r="C118" s="7" t="str">
        <x:v>Context</x:v>
      </x:c>
      <x:c r="D118" s="7" t="str">
        <x:v>Were the tandem-reporter experiments performed in wild-type or GFP-LC3 transgenic neurons?</x:v>
      </x:c>
      <x:c r="E118" s="7" t="str">
        <x:v>1. Wild-type DRG neurons
2. They were transfected with mCherry-EGFP-LC3.</x:v>
      </x:c>
      <x:c r="F118" s="9" t="n">
        <x:v>2</x:v>
      </x:c>
      <x:c r="G118" s="14"/>
      <x:c r="H118" s="14"/>
      <x:c r="I118" s="15"/>
      <x:c r="J118" s="15"/>
      <x:c r="K118" s="7" t="str">
        <x:v>Results, maturation, paragraph 4; Fig. 5 A</x:v>
      </x:c>
      <x:c r="L118" s="7" t="str">
        <x:v>Direct observation</x:v>
      </x:c>
      <x:c r="M118" s="7" t="str">
        <x:v>E033, E032</x:v>
      </x:c>
      <x:c r="N118" s="7" t="str">
        <x:v>XML</x:v>
      </x:c>
    </x:row>
    <x:row r="119" ht="54" customHeight="1">
      <x:c r="A119" s="7" t="str">
        <x:v>Q113</x:v>
      </x:c>
      <x:c r="B119" s="7" t="str">
        <x:v>Maturation</x:v>
      </x:c>
      <x:c r="C119" s="7" t="str">
        <x:v>Relation</x:v>
      </x:c>
      <x:c r="D119" s="7" t="str">
        <x:v>How did the tandem reporter's GFP pH sensitivity compare with that of singly tagged transgenic GFP-LC3?</x:v>
      </x:c>
      <x:c r="E119" s="7" t="str">
        <x:v>1. The tandem reporter's GFP signal was more sensitive to low-pH quenching
2. Singly tagged transgenic GFP-LC3 persisted in LysoTracker-positive compartments.</x:v>
      </x:c>
      <x:c r="F119" s="9" t="n">
        <x:v>2</x:v>
      </x:c>
      <x:c r="G119" s="14"/>
      <x:c r="H119" s="14"/>
      <x:c r="I119" s="15"/>
      <x:c r="J119" s="15"/>
      <x:c r="K119" s="7" t="str">
        <x:v>Results, maturation, paragraph 3</x:v>
      </x:c>
      <x:c r="L119" s="7" t="str">
        <x:v>Direct observation</x:v>
      </x:c>
      <x:c r="M119" s="7" t="str">
        <x:v>E031</x:v>
      </x:c>
      <x:c r="N119" s="7" t="str">
        <x:v>XML</x:v>
      </x:c>
    </x:row>
    <x:row r="120" ht="54" customHeight="1">
      <x:c r="A120" s="7" t="str">
        <x:v>Q114</x:v>
      </x:c>
      <x:c r="B120" s="7" t="str">
        <x:v>Maturation</x:v>
      </x:c>
      <x:c r="C120" s="7" t="str">
        <x:v>Context</x:v>
      </x:c>
      <x:c r="D120" s="7" t="str">
        <x:v>What spatial trend was observed in tandem-reporter double positivity?</x:v>
      </x:c>
      <x:c r="E120" s="7" t="str">
        <x:v>1. Most distal LC3-positive puncta retained both mCherry and GFP
2. The fraction positive for both declined toward the cell body.</x:v>
      </x:c>
      <x:c r="F120" s="9" t="n">
        <x:v>2</x:v>
      </x:c>
      <x:c r="G120" s="14"/>
      <x:c r="H120" s="14"/>
      <x:c r="I120" s="15"/>
      <x:c r="J120" s="15"/>
      <x:c r="K120" s="7" t="str">
        <x:v>Results, maturation, paragraph 4</x:v>
      </x:c>
      <x:c r="L120" s="7" t="str">
        <x:v>Direct observation</x:v>
      </x:c>
      <x:c r="M120" s="7" t="str">
        <x:v>E033</x:v>
      </x:c>
      <x:c r="N120" s="7" t="str">
        <x:v>XML</x:v>
      </x:c>
    </x:row>
    <x:row r="121" ht="54" customHeight="1">
      <x:c r="A121" s="7" t="str">
        <x:v>Q115</x:v>
      </x:c>
      <x:c r="B121" s="7" t="str">
        <x:v>Maturation</x:v>
      </x:c>
      <x:c r="C121" s="7" t="str">
        <x:v>Numerical</x:v>
      </x:c>
      <x:c r="D121" s="7" t="str">
        <x:v>What fraction of proximal LC3 puncta was mCherry-only, and what location was specified?</x:v>
      </x:c>
      <x:c r="E121" s="7" t="str">
        <x:v>1. Approximately 70%
2. Within approximately 200 µm of the cell body.</x:v>
      </x:c>
      <x:c r="F121" s="9" t="n">
        <x:v>2</x:v>
      </x:c>
      <x:c r="G121" s="14"/>
      <x:c r="H121" s="14"/>
      <x:c r="I121" s="15"/>
      <x:c r="J121" s="15"/>
      <x:c r="K121" s="7" t="str">
        <x:v>Results, maturation, paragraph 4</x:v>
      </x:c>
      <x:c r="L121" s="7" t="str">
        <x:v>Direct observation</x:v>
      </x:c>
      <x:c r="M121" s="7" t="str">
        <x:v>E033</x:v>
      </x:c>
      <x:c r="N121" s="7" t="str">
        <x:v>XML</x:v>
      </x:c>
    </x:row>
    <x:row r="122" ht="54" customHeight="1">
      <x:c r="A122" s="7" t="str">
        <x:v>Q116</x:v>
      </x:c>
      <x:c r="B122" s="7" t="str">
        <x:v>Maturation</x:v>
      </x:c>
      <x:c r="C122" s="7" t="str">
        <x:v>Numerical</x:v>
      </x:c>
      <x:c r="D122" s="7" t="str">
        <x:v>What sample size, P value, statistical test and uncertainty convention were reported for Fig. 5 E?</x:v>
      </x:c>
      <x:c r="E122" s="7" t="str">
        <x:v>1. n = 9 neurites; means ± SEM
2. P = 0.0043
3. t test.</x:v>
      </x:c>
      <x:c r="F122" s="9" t="n">
        <x:v>3</x:v>
      </x:c>
      <x:c r="G122" s="14"/>
      <x:c r="H122" s="14"/>
      <x:c r="I122" s="15"/>
      <x:c r="J122" s="15"/>
      <x:c r="K122" s="7" t="str">
        <x:v>Fig. 5 E legend</x:v>
      </x:c>
      <x:c r="L122" s="7" t="str">
        <x:v>Direct observation</x:v>
      </x:c>
      <x:c r="M122" s="7" t="str">
        <x:v>E032</x:v>
      </x:c>
      <x:c r="N122" s="7" t="str">
        <x:v>XML</x:v>
      </x:c>
    </x:row>
    <x:row r="123" ht="54" customHeight="1">
      <x:c r="A123" s="7" t="str">
        <x:v>Q117</x:v>
      </x:c>
      <x:c r="B123" s="7" t="str">
        <x:v>Maturation</x:v>
      </x:c>
      <x:c r="C123" s="7" t="str">
        <x:v>Relation</x:v>
      </x:c>
      <x:c r="D123" s="7" t="str">
        <x:v>How did proximal double-positive organelles move compared with mCherry-only organelles?</x:v>
      </x:c>
      <x:c r="E123" s="7" t="str">
        <x:v>1. GFP/mCherry double-positive organelles retained robust retrograde movement
2. mCherry-only organelles had less retrograde bias and more bidirectional/stationary movement.</x:v>
      </x:c>
      <x:c r="F123" s="9" t="n">
        <x:v>2</x:v>
      </x:c>
      <x:c r="G123" s="14"/>
      <x:c r="H123" s="14"/>
      <x:c r="I123" s="15"/>
      <x:c r="J123" s="15"/>
      <x:c r="K123" s="7" t="str">
        <x:v>Results, maturation, paragraph 5</x:v>
      </x:c>
      <x:c r="L123" s="7" t="str">
        <x:v>Direct observation</x:v>
      </x:c>
      <x:c r="M123" s="7" t="str">
        <x:v>E034</x:v>
      </x:c>
      <x:c r="N123" s="7" t="str">
        <x:v>XML</x:v>
      </x:c>
    </x:row>
    <x:row r="124" ht="54" customHeight="1">
      <x:c r="A124" s="7" t="str">
        <x:v>Q118</x:v>
      </x:c>
      <x:c r="B124" s="7" t="str">
        <x:v>Maturation</x:v>
      </x:c>
      <x:c r="C124" s="7" t="str">
        <x:v>Context</x:v>
      </x:c>
      <x:c r="D124" s="7" t="str">
        <x:v>What kind of compartment was increasingly acidified LC3-positive material proposed to become?</x:v>
      </x:c>
      <x:c r="E124" s="7" t="str">
        <x:v>1. An autolysosomal compartment
2. It may degrade engulfed contents more efficiently.</x:v>
      </x:c>
      <x:c r="F124" s="9" t="n">
        <x:v>2</x:v>
      </x:c>
      <x:c r="G124" s="14"/>
      <x:c r="H124" s="14"/>
      <x:c r="I124" s="15"/>
      <x:c r="J124" s="15"/>
      <x:c r="K124" s="7" t="str">
        <x:v>Results, maturation model, final paragraph</x:v>
      </x:c>
      <x:c r="L124" s="7" t="str">
        <x:v>Interpretation</x:v>
      </x:c>
      <x:c r="M124" s="7" t="str">
        <x:v>E036</x:v>
      </x:c>
      <x:c r="N124" s="7" t="str">
        <x:v>XML</x:v>
      </x:c>
    </x:row>
    <x:row r="125" ht="54" customHeight="1">
      <x:c r="A125" s="7" t="str">
        <x:v>Q119</x:v>
      </x:c>
      <x:c r="B125" s="7" t="str">
        <x:v>Maturation</x:v>
      </x:c>
      <x:c r="C125" s="7" t="str">
        <x:v>Uncertainty</x:v>
      </x:c>
      <x:c r="D125" s="7" t="str">
        <x:v>What recycling advantage was proposed for degradation near the soma?</x:v>
      </x:c>
      <x:c r="E125" s="7" t="str">
        <x:v>1. The soma is a primary site of protein synthesis
2. Degradation nearby may facilitate recycling of amino acids and lipids.</x:v>
      </x:c>
      <x:c r="F125" s="9" t="n">
        <x:v>2</x:v>
      </x:c>
      <x:c r="G125" s="14"/>
      <x:c r="H125" s="14"/>
      <x:c r="I125" s="15"/>
      <x:c r="J125" s="15"/>
      <x:c r="K125" s="7" t="str">
        <x:v>Results, maturation model, final paragraph</x:v>
      </x:c>
      <x:c r="L125" s="7" t="str">
        <x:v>Hypothesis</x:v>
      </x:c>
      <x:c r="M125" s="7" t="str">
        <x:v>E036</x:v>
      </x:c>
      <x:c r="N125" s="7" t="str">
        <x:v>XML</x:v>
      </x:c>
    </x:row>
    <x:row r="126" ht="54" customHeight="1">
      <x:c r="A126" s="7" t="str">
        <x:v>Q120</x:v>
      </x:c>
      <x:c r="B126" s="7" t="str">
        <x:v>Maturation</x:v>
      </x:c>
      <x:c r="C126" s="7" t="str">
        <x:v>Uncertainty</x:v>
      </x:c>
      <x:c r="D126" s="7" t="str">
        <x:v>Did the study prove that endosome/lysosome fusion triggers the onset of retrograde transport?</x:v>
      </x:c>
      <x:c r="E126" s="7" t="str">
        <x:v>1. No
2. Fusion may coincide with escape from the distal pool and may initiate robust retrograde transport; this was proposed.</x:v>
      </x:c>
      <x:c r="F126" s="9" t="n">
        <x:v>2</x:v>
      </x:c>
      <x:c r="G126" s="14"/>
      <x:c r="H126" s="14"/>
      <x:c r="I126" s="15"/>
      <x:c r="J126" s="15"/>
      <x:c r="K126" s="7" t="str">
        <x:v>Results, maturation model, final paragraph</x:v>
      </x:c>
      <x:c r="L126" s="7" t="str">
        <x:v>Hypothesis</x:v>
      </x:c>
      <x:c r="M126" s="7" t="str">
        <x:v>E036</x:v>
      </x:c>
      <x:c r="N126" s="7" t="str">
        <x:v>XML</x:v>
      </x:c>
    </x:row>
    <x:row r="127" ht="54" customHeight="1">
      <x:c r="A127" s="7" t="str">
        <x:v>Q121</x:v>
      </x:c>
      <x:c r="B127" s="7" t="str">
        <x:v>Methods</x:v>
      </x:c>
      <x:c r="C127" s="7" t="str">
        <x:v>Entity</x:v>
      </x:c>
      <x:c r="D127" s="7" t="str">
        <x:v>What were the strain names of the GFP-LC3 and SOD1G93A mice?</x:v>
      </x:c>
      <x:c r="E127" s="7" t="str">
        <x:v>1. GFP-LC3: B6.Cg-Tg(CAG-EGFP/LC3)53Nmi/NmiRbrc
2. SOD1G93A: B6SJL-Tg(SOD*G93A)1Gur/J.</x:v>
      </x:c>
      <x:c r="F127" s="9" t="n">
        <x:v>2</x:v>
      </x:c>
      <x:c r="G127" s="14"/>
      <x:c r="H127" s="14"/>
      <x:c r="I127" s="15"/>
      <x:c r="J127" s="15"/>
      <x:c r="K127" s="7" t="str">
        <x:v>Reagents</x:v>
      </x:c>
      <x:c r="L127" s="7" t="str">
        <x:v>Protocol</x:v>
      </x:c>
      <x:c r="M127" s="7" t="str">
        <x:v>E039</x:v>
      </x:c>
      <x:c r="N127" s="7" t="str">
        <x:v>XML</x:v>
      </x:c>
    </x:row>
    <x:row r="128" ht="54" customHeight="1">
      <x:c r="A128" s="7" t="str">
        <x:v>Q122</x:v>
      </x:c>
      <x:c r="B128" s="7" t="str">
        <x:v>Methods</x:v>
      </x:c>
      <x:c r="C128" s="7" t="str">
        <x:v>Provenance</x:v>
      </x:c>
      <x:c r="D128" s="7" t="str">
        <x:v>Where did the GFP-LC3 and SOD1G93A mouse strains come from?</x:v>
      </x:c>
      <x:c r="E128" s="7" t="str">
        <x:v>1. GFP-LC3 mice were developed by N. Mizushima and deposited at the RIKEN BioResource Center
2. SOD1G93A mice were purchased from The Jackson Laboratory.</x:v>
      </x:c>
      <x:c r="F128" s="9" t="n">
        <x:v>2</x:v>
      </x:c>
      <x:c r="G128" s="14"/>
      <x:c r="H128" s="14"/>
      <x:c r="I128" s="15"/>
      <x:c r="J128" s="15"/>
      <x:c r="K128" s="7" t="str">
        <x:v>Reagents</x:v>
      </x:c>
      <x:c r="L128" s="7" t="str">
        <x:v>Protocol</x:v>
      </x:c>
      <x:c r="M128" s="7" t="str">
        <x:v>E039</x:v>
      </x:c>
      <x:c r="N128" s="7" t="str">
        <x:v>XML</x:v>
      </x:c>
    </x:row>
    <x:row r="129" ht="54" customHeight="1">
      <x:c r="A129" s="7" t="str">
        <x:v>Q123</x:v>
      </x:c>
      <x:c r="B129" s="7" t="str">
        <x:v>Methods</x:v>
      </x:c>
      <x:c r="C129" s="7" t="str">
        <x:v>Context</x:v>
      </x:c>
      <x:c r="D129" s="7" t="str">
        <x:v>What basal culture medium and serum concentration were used for DRG neurons?</x:v>
      </x:c>
      <x:c r="E129" s="7" t="str">
        <x:v>1. F-12 medium
2. 10% heat-inactivated fetal bovine serum.</x:v>
      </x:c>
      <x:c r="F129" s="9" t="n">
        <x:v>2</x:v>
      </x:c>
      <x:c r="G129" s="14"/>
      <x:c r="H129" s="14"/>
      <x:c r="I129" s="15"/>
      <x:c r="J129" s="15"/>
      <x:c r="K129" s="7" t="str">
        <x:v>Live-cell imaging, paragraph 1</x:v>
      </x:c>
      <x:c r="L129" s="7" t="str">
        <x:v>Protocol</x:v>
      </x:c>
      <x:c r="M129" s="7" t="str">
        <x:v>E043</x:v>
      </x:c>
      <x:c r="N129" s="7" t="str">
        <x:v>XML</x:v>
      </x:c>
    </x:row>
    <x:row r="130" ht="54" customHeight="1">
      <x:c r="A130" s="7" t="str">
        <x:v>Q124</x:v>
      </x:c>
      <x:c r="B130" s="7" t="str">
        <x:v>Methods</x:v>
      </x:c>
      <x:c r="C130" s="7" t="str">
        <x:v>Numerical</x:v>
      </x:c>
      <x:c r="D130" s="7" t="str">
        <x:v>What glutamine and antibiotic supplements were included in DRG culture medium?</x:v>
      </x:c>
      <x:c r="E130" s="7" t="str">
        <x:v>1. 2 mM L-glutamine
2. 100 U/ml penicillin
3. 100 µg/ml streptomycin.</x:v>
      </x:c>
      <x:c r="F130" s="9" t="n">
        <x:v>3</x:v>
      </x:c>
      <x:c r="G130" s="14"/>
      <x:c r="H130" s="14"/>
      <x:c r="I130" s="15"/>
      <x:c r="J130" s="15"/>
      <x:c r="K130" s="7" t="str">
        <x:v>Live-cell imaging, paragraph 1</x:v>
      </x:c>
      <x:c r="L130" s="7" t="str">
        <x:v>Protocol</x:v>
      </x:c>
      <x:c r="M130" s="7" t="str">
        <x:v>E043</x:v>
      </x:c>
      <x:c r="N130" s="7" t="str">
        <x:v>XML</x:v>
      </x:c>
    </x:row>
    <x:row r="131" ht="54" customHeight="1">
      <x:c r="A131" s="7" t="str">
        <x:v>Q125</x:v>
      </x:c>
      <x:c r="B131" s="7" t="str">
        <x:v>Methods</x:v>
      </x:c>
      <x:c r="C131" s="7" t="str">
        <x:v>Context</x:v>
      </x:c>
      <x:c r="D131" s="7" t="str">
        <x:v>How long, at what temperature and under what CO2 conditions were DRG neurons cultured before live imaging?</x:v>
      </x:c>
      <x:c r="E131" s="7" t="str">
        <x:v>1. 2 days
2. 37°C
3. 5% CO2.</x:v>
      </x:c>
      <x:c r="F131" s="9" t="n">
        <x:v>3</x:v>
      </x:c>
      <x:c r="G131" s="14"/>
      <x:c r="H131" s="14"/>
      <x:c r="I131" s="15"/>
      <x:c r="J131" s="15"/>
      <x:c r="K131" s="7" t="str">
        <x:v>Live-cell imaging, paragraph 1</x:v>
      </x:c>
      <x:c r="L131" s="7" t="str">
        <x:v>Protocol</x:v>
      </x:c>
      <x:c r="M131" s="7" t="str">
        <x:v>E043</x:v>
      </x:c>
      <x:c r="N131" s="7" t="str">
        <x:v>XML</x:v>
      </x:c>
    </x:row>
    <x:row r="132" ht="54" customHeight="1">
      <x:c r="A132" s="7" t="str">
        <x:v>Q126</x:v>
      </x:c>
      <x:c r="B132" s="7" t="str">
        <x:v>Methods</x:v>
      </x:c>
      <x:c r="C132" s="7" t="str">
        <x:v>Context</x:v>
      </x:c>
      <x:c r="D132" s="7" t="str">
        <x:v>On what substrate were cells plated for live-cell analysis, and how were plasmids introduced?</x:v>
      </x:c>
      <x:c r="E132" s="7" t="str">
        <x:v>1. Glass-bottom dishes
2. Before plating, when needed, 0.5 µg plasmid DNA was delivered using a Nucleofector.</x:v>
      </x:c>
      <x:c r="F132" s="9" t="n">
        <x:v>2</x:v>
      </x:c>
      <x:c r="G132" s="14"/>
      <x:c r="H132" s="14"/>
      <x:c r="I132" s="15"/>
      <x:c r="J132" s="15"/>
      <x:c r="K132" s="7" t="str">
        <x:v>Live-cell imaging, paragraph 1</x:v>
      </x:c>
      <x:c r="L132" s="7" t="str">
        <x:v>Protocol</x:v>
      </x:c>
      <x:c r="M132" s="7" t="str">
        <x:v>E043</x:v>
      </x:c>
      <x:c r="N132" s="7" t="str">
        <x:v>XML</x:v>
      </x:c>
    </x:row>
    <x:row r="133" ht="54" customHeight="1">
      <x:c r="A133" s="7" t="str">
        <x:v>Q127</x:v>
      </x:c>
      <x:c r="B133" s="7" t="str">
        <x:v>Methods</x:v>
      </x:c>
      <x:c r="C133" s="7" t="str">
        <x:v>Context</x:v>
      </x:c>
      <x:c r="D133" s="7" t="str">
        <x:v>What imaging medium and supplements were used?</x:v>
      </x:c>
      <x:c r="E133" s="7" t="str">
        <x:v>1. Low-fluorescence Hibernate A
2. 2% B27 and 2 mM GlutaMAX.</x:v>
      </x:c>
      <x:c r="F133" s="9" t="n">
        <x:v>2</x:v>
      </x:c>
      <x:c r="G133" s="14"/>
      <x:c r="H133" s="14"/>
      <x:c r="I133" s="15"/>
      <x:c r="J133" s="15"/>
      <x:c r="K133" s="7" t="str">
        <x:v>Live-cell imaging, paragraph 1</x:v>
      </x:c>
      <x:c r="L133" s="7" t="str">
        <x:v>Protocol</x:v>
      </x:c>
      <x:c r="M133" s="7" t="str">
        <x:v>E043</x:v>
      </x:c>
      <x:c r="N133" s="7" t="str">
        <x:v>XML</x:v>
      </x:c>
    </x:row>
    <x:row r="134" ht="54" customHeight="1">
      <x:c r="A134" s="7" t="str">
        <x:v>Q128</x:v>
      </x:c>
      <x:c r="B134" s="7" t="str">
        <x:v>Methods</x:v>
      </x:c>
      <x:c r="C134" s="7" t="str">
        <x:v>Numerical</x:v>
      </x:c>
      <x:c r="D134" s="7" t="str">
        <x:v>What was the LysoTracker red loading protocol?</x:v>
      </x:c>
      <x:c r="E134" s="7" t="str">
        <x:v>1. 100 nM in F-12 culture medium
2. 30 minutes at 37°C and 5% CO2
3. Two washes in culture medium before imaging.</x:v>
      </x:c>
      <x:c r="F134" s="9" t="n">
        <x:v>3</x:v>
      </x:c>
      <x:c r="G134" s="14"/>
      <x:c r="H134" s="14"/>
      <x:c r="I134" s="15"/>
      <x:c r="J134" s="15"/>
      <x:c r="K134" s="7" t="str">
        <x:v>Live-cell imaging, paragraph 1</x:v>
      </x:c>
      <x:c r="L134" s="7" t="str">
        <x:v>Protocol</x:v>
      </x:c>
      <x:c r="M134" s="7" t="str">
        <x:v>E043</x:v>
      </x:c>
      <x:c r="N134" s="7" t="str">
        <x:v>XML</x:v>
      </x:c>
    </x:row>
    <x:row r="135" ht="54" customHeight="1">
      <x:c r="A135" s="7" t="str">
        <x:v>Q129</x:v>
      </x:c>
      <x:c r="B135" s="7" t="str">
        <x:v>Methods</x:v>
      </x:c>
      <x:c r="C135" s="7" t="str">
        <x:v>Entity</x:v>
      </x:c>
      <x:c r="D135" s="7" t="str">
        <x:v>What microscope and objective were used for GFP-LC3 motility/particle tracking and tandem-reporter analysis?</x:v>
      </x:c>
      <x:c r="E135" s="7" t="str">
        <x:v>1. Leica DMI6000B inverted epifluorescence microscope
2. 63×, 1.4 NA oil-immersion Apochromat objective
3. Environmental chamber at 37°C.</x:v>
      </x:c>
      <x:c r="F135" s="9" t="n">
        <x:v>3</x:v>
      </x:c>
      <x:c r="G135" s="14"/>
      <x:c r="H135" s="14"/>
      <x:c r="I135" s="15"/>
      <x:c r="J135" s="15"/>
      <x:c r="K135" s="7" t="str">
        <x:v>Live-cell imaging, paragraph 2</x:v>
      </x:c>
      <x:c r="L135" s="7" t="str">
        <x:v>Protocol</x:v>
      </x:c>
      <x:c r="M135" s="7" t="str">
        <x:v>E044</x:v>
      </x:c>
      <x:c r="N135" s="7" t="str">
        <x:v>XML</x:v>
      </x:c>
    </x:row>
    <x:row r="136" ht="54" customHeight="1">
      <x:c r="A136" s="7" t="str">
        <x:v>Q130</x:v>
      </x:c>
      <x:c r="B136" s="7" t="str">
        <x:v>Methods</x:v>
      </x:c>
      <x:c r="C136" s="7" t="str">
        <x:v>Entity</x:v>
      </x:c>
      <x:c r="D136" s="7" t="str">
        <x:v>What camera and acquisition software were used for epifluorescence imaging?</x:v>
      </x:c>
      <x:c r="E136" s="7" t="str">
        <x:v>1. Hamamatsu ORCA-R2 CCD camera
2. Leica LAS-AF software.</x:v>
      </x:c>
      <x:c r="F136" s="9" t="n">
        <x:v>2</x:v>
      </x:c>
      <x:c r="G136" s="14"/>
      <x:c r="H136" s="14"/>
      <x:c r="I136" s="15"/>
      <x:c r="J136" s="15"/>
      <x:c r="K136" s="7" t="str">
        <x:v>Live-cell imaging, paragraph 2</x:v>
      </x:c>
      <x:c r="L136" s="7" t="str">
        <x:v>Protocol</x:v>
      </x:c>
      <x:c r="M136" s="7" t="str">
        <x:v>E044</x:v>
      </x:c>
      <x:c r="N136" s="7" t="str">
        <x:v>XML</x:v>
      </x:c>
    </x:row>
    <x:row r="137" ht="54" customHeight="1">
      <x:c r="A137" s="7" t="str">
        <x:v>Q131</x:v>
      </x:c>
      <x:c r="B137" s="7" t="str">
        <x:v>Methods</x:v>
      </x:c>
      <x:c r="C137" s="7" t="str">
        <x:v>Numerical</x:v>
      </x:c>
      <x:c r="D137" s="7" t="str">
        <x:v>What frame interval and recording duration were used for the principal motility videos?</x:v>
      </x:c>
      <x:c r="E137" s="7" t="str">
        <x:v>1. One image every 3 seconds
2. Total recording duration 3 minutes.</x:v>
      </x:c>
      <x:c r="F137" s="9" t="n">
        <x:v>2</x:v>
      </x:c>
      <x:c r="G137" s="14"/>
      <x:c r="H137" s="14"/>
      <x:c r="I137" s="15"/>
      <x:c r="J137" s="15"/>
      <x:c r="K137" s="7" t="str">
        <x:v>Live-cell imaging, paragraph 2</x:v>
      </x:c>
      <x:c r="L137" s="7" t="str">
        <x:v>Protocol</x:v>
      </x:c>
      <x:c r="M137" s="7" t="str">
        <x:v>E044</x:v>
      </x:c>
      <x:c r="N137" s="7" t="str">
        <x:v>XML</x:v>
      </x:c>
    </x:row>
    <x:row r="138" ht="54" customHeight="1">
      <x:c r="A138" s="7" t="str">
        <x:v>Q132</x:v>
      </x:c>
      <x:c r="B138" s="7" t="str">
        <x:v>Methods</x:v>
      </x:c>
      <x:c r="C138" s="7" t="str">
        <x:v>Context</x:v>
      </x:c>
      <x:c r="D138" s="7" t="str">
        <x:v>In what order were the two fluorescence channels acquired?</x:v>
      </x:c>
      <x:c r="E138" s="7" t="str">
        <x:v>1. Green first
2. Then red, acquired consecutively.</x:v>
      </x:c>
      <x:c r="F138" s="9" t="n">
        <x:v>2</x:v>
      </x:c>
      <x:c r="G138" s="14"/>
      <x:c r="H138" s="14"/>
      <x:c r="I138" s="15"/>
      <x:c r="J138" s="15"/>
      <x:c r="K138" s="7" t="str">
        <x:v>Live-cell imaging, paragraphs 2–3</x:v>
      </x:c>
      <x:c r="L138" s="7" t="str">
        <x:v>Protocol</x:v>
      </x:c>
      <x:c r="M138" s="7" t="str">
        <x:v>E044, E045</x:v>
      </x:c>
      <x:c r="N138" s="7" t="str">
        <x:v>XML</x:v>
      </x:c>
    </x:row>
    <x:row r="139" ht="54" customHeight="1">
      <x:c r="A139" s="7" t="str">
        <x:v>Q133</x:v>
      </x:c>
      <x:c r="B139" s="7" t="str">
        <x:v>Methods</x:v>
      </x:c>
      <x:c r="C139" s="7" t="str">
        <x:v>Entity</x:v>
      </x:c>
      <x:c r="D139" s="7" t="str">
        <x:v>What microscope system and objective were used for biogenesis and colocalization experiments?</x:v>
      </x:c>
      <x:c r="E139" s="7" t="str">
        <x:v>1. UltraVIEW VoX spinning-disk confocal on a Nikon Eclipse Ti with Perfect Focus
2. 100×, 1.49 NA oil-immersion Apochromat objective
3. Environmental chamber at 37°C.</x:v>
      </x:c>
      <x:c r="F139" s="9" t="n">
        <x:v>3</x:v>
      </x:c>
      <x:c r="G139" s="14"/>
      <x:c r="H139" s="14"/>
      <x:c r="I139" s="15"/>
      <x:c r="J139" s="15"/>
      <x:c r="K139" s="7" t="str">
        <x:v>Live-cell imaging, paragraph 3</x:v>
      </x:c>
      <x:c r="L139" s="7" t="str">
        <x:v>Protocol</x:v>
      </x:c>
      <x:c r="M139" s="7" t="str">
        <x:v>E045</x:v>
      </x:c>
      <x:c r="N139" s="7" t="str">
        <x:v>XML</x:v>
      </x:c>
    </x:row>
    <x:row r="140" ht="54" customHeight="1">
      <x:c r="A140" s="7" t="str">
        <x:v>Q134</x:v>
      </x:c>
      <x:c r="B140" s="7" t="str">
        <x:v>Methods</x:v>
      </x:c>
      <x:c r="C140" s="7" t="str">
        <x:v>Entity</x:v>
      </x:c>
      <x:c r="D140" s="7" t="str">
        <x:v>What camera and software were used for confocal acquisition?</x:v>
      </x:c>
      <x:c r="E140" s="7" t="str">
        <x:v>1. Hamamatsu C9100 EM CCD camera
2. PerkinElmer Volocity software.</x:v>
      </x:c>
      <x:c r="F140" s="9" t="n">
        <x:v>2</x:v>
      </x:c>
      <x:c r="G140" s="14"/>
      <x:c r="H140" s="14"/>
      <x:c r="I140" s="15"/>
      <x:c r="J140" s="15"/>
      <x:c r="K140" s="7" t="str">
        <x:v>Live-cell imaging, paragraph 3</x:v>
      </x:c>
      <x:c r="L140" s="7" t="str">
        <x:v>Protocol</x:v>
      </x:c>
      <x:c r="M140" s="7" t="str">
        <x:v>E045</x:v>
      </x:c>
      <x:c r="N140" s="7" t="str">
        <x:v>XML</x:v>
      </x:c>
    </x:row>
    <x:row r="141" ht="54" customHeight="1">
      <x:c r="A141" s="7" t="str">
        <x:v>Q135</x:v>
      </x:c>
      <x:c r="B141" s="7" t="str">
        <x:v>Methods</x:v>
      </x:c>
      <x:c r="C141" s="7" t="str">
        <x:v>Numerical</x:v>
      </x:c>
      <x:c r="D141" s="7" t="str">
        <x:v>What acquisition intervals and recording lengths were used for biogenesis experiments?</x:v>
      </x:c>
      <x:c r="E141" s="7" t="str">
        <x:v>1. One image every 2, 3 or 5 seconds
2. Recording durations of 10–20 minutes.</x:v>
      </x:c>
      <x:c r="F141" s="9" t="n">
        <x:v>2</x:v>
      </x:c>
      <x:c r="G141" s="14"/>
      <x:c r="H141" s="14"/>
      <x:c r="I141" s="15"/>
      <x:c r="J141" s="15"/>
      <x:c r="K141" s="7" t="str">
        <x:v>Live-cell imaging, paragraph 3</x:v>
      </x:c>
      <x:c r="L141" s="7" t="str">
        <x:v>Protocol</x:v>
      </x:c>
      <x:c r="M141" s="7" t="str">
        <x:v>E045</x:v>
      </x:c>
      <x:c r="N141" s="7" t="str">
        <x:v>XML</x:v>
      </x:c>
    </x:row>
    <x:row r="142" ht="54" customHeight="1">
      <x:c r="A142" s="7" t="str">
        <x:v>Q136</x:v>
      </x:c>
      <x:c r="B142" s="7" t="str">
        <x:v>Methods</x:v>
      </x:c>
      <x:c r="C142" s="7" t="str">
        <x:v>Numerical</x:v>
      </x:c>
      <x:c r="D142" s="7" t="str">
        <x:v>How was GFP-LC3 photobleached in biogenesis experiments?</x:v>
      </x:c>
      <x:c r="E142" s="7" t="str">
        <x:v>1. 488-nm laser at 100% power
2. 15 iterations
3. GFP-LC3 was bleached throughout the depth of the neurite.</x:v>
      </x:c>
      <x:c r="F142" s="9" t="n">
        <x:v>3</x:v>
      </x:c>
      <x:c r="G142" s="14"/>
      <x:c r="H142" s="14"/>
      <x:c r="I142" s="15"/>
      <x:c r="J142" s="15"/>
      <x:c r="K142" s="7" t="str">
        <x:v>Live-cell imaging, paragraph 3</x:v>
      </x:c>
      <x:c r="L142" s="7" t="str">
        <x:v>Protocol</x:v>
      </x:c>
      <x:c r="M142" s="7" t="str">
        <x:v>E045</x:v>
      </x:c>
      <x:c r="N142" s="7" t="str">
        <x:v>XML</x:v>
      </x:c>
    </x:row>
    <x:row r="143" ht="54" customHeight="1">
      <x:c r="A143" s="7" t="str">
        <x:v>Q137</x:v>
      </x:c>
      <x:c r="B143" s="7" t="str">
        <x:v>Methods</x:v>
      </x:c>
      <x:c r="C143" s="7" t="str">
        <x:v>Numerical</x:v>
      </x:c>
      <x:c r="D143" s="7" t="str">
        <x:v>What acquisition schedule was used for colocalization experiments?</x:v>
      </x:c>
      <x:c r="E143" s="7" t="str">
        <x:v>1. One image every 2 seconds
2. For 5 minutes, with green followed by red.</x:v>
      </x:c>
      <x:c r="F143" s="9" t="n">
        <x:v>2</x:v>
      </x:c>
      <x:c r="G143" s="14"/>
      <x:c r="H143" s="14"/>
      <x:c r="I143" s="15"/>
      <x:c r="J143" s="15"/>
      <x:c r="K143" s="7" t="str">
        <x:v>Live-cell imaging, paragraph 3</x:v>
      </x:c>
      <x:c r="L143" s="7" t="str">
        <x:v>Protocol</x:v>
      </x:c>
      <x:c r="M143" s="7" t="str">
        <x:v>E045</x:v>
      </x:c>
      <x:c r="N143" s="7" t="str">
        <x:v>XML</x:v>
      </x:c>
    </x:row>
    <x:row r="144" ht="54" customHeight="1">
      <x:c r="A144" s="7" t="str">
        <x:v>Q138</x:v>
      </x:c>
      <x:c r="B144" s="7" t="str">
        <x:v>Methods</x:v>
      </x:c>
      <x:c r="C144" s="7" t="str">
        <x:v>Numerical</x:v>
      </x:c>
      <x:c r="D144" s="7" t="str">
        <x:v>How were mCherry-SOD1G93A and RFP-Ub photobleached and monitored for recovery?</x:v>
      </x:c>
      <x:c r="E144" s="7" t="str">
        <x:v>1. 561-nm laser at 100% power for 30 iterations
2. Recovery images every 2 seconds for 5 minutes.</x:v>
      </x:c>
      <x:c r="F144" s="9" t="n">
        <x:v>2</x:v>
      </x:c>
      <x:c r="G144" s="14"/>
      <x:c r="H144" s="14"/>
      <x:c r="I144" s="15"/>
      <x:c r="J144" s="15"/>
      <x:c r="K144" s="7" t="str">
        <x:v>Live-cell imaging, paragraph 3</x:v>
      </x:c>
      <x:c r="L144" s="7" t="str">
        <x:v>Protocol</x:v>
      </x:c>
      <x:c r="M144" s="7" t="str">
        <x:v>E045</x:v>
      </x:c>
      <x:c r="N144" s="7" t="str">
        <x:v>XML</x:v>
      </x:c>
    </x:row>
    <x:row r="145" ht="54" customHeight="1">
      <x:c r="A145" s="7" t="str">
        <x:v>Q139</x:v>
      </x:c>
      <x:c r="B145" s="7" t="str">
        <x:v>Methods</x:v>
      </x:c>
      <x:c r="C145" s="7" t="str">
        <x:v>Entity</x:v>
      </x:c>
      <x:c r="D145" s="7" t="str">
        <x:v>Which tools were used for tracking, kymographs and image assembly?</x:v>
      </x:c>
      <x:c r="E145" s="7" t="str">
        <x:v>1. MetaMorph for manual particle tracking and kymographs
2. ImageJ and Photoshop for image assembly.</x:v>
      </x:c>
      <x:c r="F145" s="9" t="n">
        <x:v>2</x:v>
      </x:c>
      <x:c r="G145" s="14"/>
      <x:c r="H145" s="14"/>
      <x:c r="I145" s="15"/>
      <x:c r="J145" s="15"/>
      <x:c r="K145" s="7" t="str">
        <x:v>Image analysis; Live-cell imaging</x:v>
      </x:c>
      <x:c r="L145" s="7" t="str">
        <x:v>Protocol</x:v>
      </x:c>
      <x:c r="M145" s="7" t="str">
        <x:v>E047, E048, E045</x:v>
      </x:c>
      <x:c r="N145" s="7" t="str">
        <x:v>XML</x:v>
      </x:c>
    </x:row>
    <x:row r="146" ht="54" customHeight="1">
      <x:c r="A146" s="7" t="str">
        <x:v>Q140</x:v>
      </x:c>
      <x:c r="B146" s="7" t="str">
        <x:v>Methods</x:v>
      </x:c>
      <x:c r="C146" s="7" t="str">
        <x:v>Context</x:v>
      </x:c>
      <x:c r="D146" s="7" t="str">
        <x:v>Which puncta qualified for manual tracking, and for how long were they followed?</x:v>
      </x:c>
      <x:c r="E146" s="7" t="str">
        <x:v>1. GFP-LC3-positive puncta moving a net distance of at least 10 µm
2. Tracked frame by frame over the entire 3-minute video.</x:v>
      </x:c>
      <x:c r="F146" s="9" t="n">
        <x:v>2</x:v>
      </x:c>
      <x:c r="G146" s="14"/>
      <x:c r="H146" s="14"/>
      <x:c r="I146" s="15"/>
      <x:c r="J146" s="15"/>
      <x:c r="K146" s="7" t="str">
        <x:v>Image analysis, paragraph 1</x:v>
      </x:c>
      <x:c r="L146" s="7" t="str">
        <x:v>Definition</x:v>
      </x:c>
      <x:c r="M146" s="7" t="str">
        <x:v>E047</x:v>
      </x:c>
      <x:c r="N146" s="7" t="str">
        <x:v>XML</x:v>
      </x:c>
    </x:row>
    <x:row r="147" ht="54" customHeight="1">
      <x:c r="A147" s="7" t="str">
        <x:v>Q141</x:v>
      </x:c>
      <x:c r="B147" s="7" t="str">
        <x:v>Methods</x:v>
      </x:c>
      <x:c r="C147" s="7" t="str">
        <x:v>Numerical</x:v>
      </x:c>
      <x:c r="D147" s="7" t="str">
        <x:v>How was mean vesicle velocity calculated, and were paused values included?</x:v>
      </x:c>
      <x:c r="E147" s="7" t="str">
        <x:v>1. Average of frame-to-frame instantaneous velocities for a single punctum
2. Paused values were excluded.</x:v>
      </x:c>
      <x:c r="F147" s="9" t="n">
        <x:v>2</x:v>
      </x:c>
      <x:c r="G147" s="14"/>
      <x:c r="H147" s="14"/>
      <x:c r="I147" s="15"/>
      <x:c r="J147" s="15"/>
      <x:c r="K147" s="7" t="str">
        <x:v>Image analysis, paragraph 1</x:v>
      </x:c>
      <x:c r="L147" s="7" t="str">
        <x:v>Definition</x:v>
      </x:c>
      <x:c r="M147" s="7" t="str">
        <x:v>E047</x:v>
      </x:c>
      <x:c r="N147" s="7" t="str">
        <x:v>XML</x:v>
      </x:c>
    </x:row>
    <x:row r="148" ht="54" customHeight="1">
      <x:c r="A148" s="7" t="str">
        <x:v>Q142</x:v>
      </x:c>
      <x:c r="B148" s="7" t="str">
        <x:v>Methods</x:v>
      </x:c>
      <x:c r="C148" s="7" t="str">
        <x:v>Numerical</x:v>
      </x:c>
      <x:c r="D148" s="7" t="str">
        <x:v>What velocity criterion defined a pause, and why was that cutoff used?</x:v>
      </x:c>
      <x:c r="E148" s="7" t="str">
        <x:v>1. A single or consecutive instantaneous velocity value below 0.067 µm/s
2. The cutoff was empirically determined as the system's resolution.</x:v>
      </x:c>
      <x:c r="F148" s="9" t="n">
        <x:v>2</x:v>
      </x:c>
      <x:c r="G148" s="14"/>
      <x:c r="H148" s="14"/>
      <x:c r="I148" s="15"/>
      <x:c r="J148" s="15"/>
      <x:c r="K148" s="7" t="str">
        <x:v>Image analysis, paragraph 1</x:v>
      </x:c>
      <x:c r="L148" s="7" t="str">
        <x:v>Definition</x:v>
      </x:c>
      <x:c r="M148" s="7" t="str">
        <x:v>E047</x:v>
      </x:c>
      <x:c r="N148" s="7" t="str">
        <x:v>XML</x:v>
      </x:c>
    </x:row>
    <x:row r="149" ht="54" customHeight="1">
      <x:c r="A149" s="7" t="str">
        <x:v>Q143</x:v>
      </x:c>
      <x:c r="B149" s="7" t="str">
        <x:v>Methods</x:v>
      </x:c>
      <x:c r="C149" s="7" t="str">
        <x:v>Numerical</x:v>
      </x:c>
      <x:c r="D149" s="7" t="str">
        <x:v>What defined a reversal?</x:v>
      </x:c>
      <x:c r="E149" s="7" t="str">
        <x:v>1. A single or consecutive instantaneous velocity value above 0.067 µm/s
2. In the direction opposite the vesicle's net displacement.</x:v>
      </x:c>
      <x:c r="F149" s="9" t="n">
        <x:v>2</x:v>
      </x:c>
      <x:c r="G149" s="14"/>
      <x:c r="H149" s="14"/>
      <x:c r="I149" s="15"/>
      <x:c r="J149" s="15"/>
      <x:c r="K149" s="7" t="str">
        <x:v>Image analysis, paragraph 1</x:v>
      </x:c>
      <x:c r="L149" s="7" t="str">
        <x:v>Definition</x:v>
      </x:c>
      <x:c r="M149" s="7" t="str">
        <x:v>E047</x:v>
      </x:c>
      <x:c r="N149" s="7" t="str">
        <x:v>XML</x:v>
      </x:c>
    </x:row>
    <x:row r="150" ht="54" customHeight="1">
      <x:c r="A150" s="7" t="str">
        <x:v>Q144</x:v>
      </x:c>
      <x:c r="B150" s="7" t="str">
        <x:v>Methods</x:v>
      </x:c>
      <x:c r="C150" s="7" t="str">
        <x:v>Numerical</x:v>
      </x:c>
      <x:c r="D150" s="7" t="str">
        <x:v>How was the number of reversals per 100 µm normalized?</x:v>
      </x:c>
      <x:c r="E150" s="7" t="str">
        <x:v>1. Using the net distance traveled by the vesicle
2. During the 3-minute recording.</x:v>
      </x:c>
      <x:c r="F150" s="9" t="n">
        <x:v>2</x:v>
      </x:c>
      <x:c r="G150" s="14"/>
      <x:c r="H150" s="14"/>
      <x:c r="I150" s="15"/>
      <x:c r="J150" s="15"/>
      <x:c r="K150" s="7" t="str">
        <x:v>Image analysis, paragraph 1</x:v>
      </x:c>
      <x:c r="L150" s="7" t="str">
        <x:v>Definition</x:v>
      </x:c>
      <x:c r="M150" s="7" t="str">
        <x:v>E047</x:v>
      </x:c>
      <x:c r="N150" s="7" t="str">
        <x:v>XML</x:v>
      </x:c>
    </x:row>
    <x:row r="151" ht="68" customHeight="1">
      <x:c r="A151" s="7" t="str">
        <x:v>Q145</x:v>
      </x:c>
      <x:c r="B151" s="7" t="str">
        <x:v>Methods</x:v>
      </x:c>
      <x:c r="C151" s="7" t="str">
        <x:v>Context</x:v>
      </x:c>
      <x:c r="D151" s="7" t="str">
        <x:v>How were net retrograde, net anterograde and bidirectional/stationary vesicles classified?</x:v>
      </x:c>
      <x:c r="E151" s="7" t="str">
        <x:v>1. Retrograde and anterograde categories required at least 10 µm net displacement in that direction
2. Vesicles below 10 µm net displacement were classified as nonprocessive bidirectional/stationary.</x:v>
      </x:c>
      <x:c r="F151" s="9" t="n">
        <x:v>2</x:v>
      </x:c>
      <x:c r="G151" s="14"/>
      <x:c r="H151" s="14"/>
      <x:c r="I151" s="15"/>
      <x:c r="J151" s="15"/>
      <x:c r="K151" s="7" t="str">
        <x:v>Image analysis, paragraph 2</x:v>
      </x:c>
      <x:c r="L151" s="7" t="str">
        <x:v>Definition</x:v>
      </x:c>
      <x:c r="M151" s="7" t="str">
        <x:v>E048</x:v>
      </x:c>
      <x:c r="N151" s="7" t="str">
        <x:v>XML</x:v>
      </x:c>
    </x:row>
    <x:row r="152" ht="54" customHeight="1">
      <x:c r="A152" s="7" t="str">
        <x:v>Q146</x:v>
      </x:c>
      <x:c r="B152" s="7" t="str">
        <x:v>Methods</x:v>
      </x:c>
      <x:c r="C152" s="7" t="str">
        <x:v>Context</x:v>
      </x:c>
      <x:c r="D152" s="7" t="str">
        <x:v>What neurite-selection criterion was used to generate analysis kymographs?</x:v>
      </x:c>
      <x:c r="E152" s="7" t="str">
        <x:v>1. The neurite had to contain at least one GFP-LC3-positive punctum traveling a net distance of at least 10 µm.</x:v>
      </x:c>
      <x:c r="F152" s="9" t="n">
        <x:v>1</x:v>
      </x:c>
      <x:c r="G152" s="14"/>
      <x:c r="H152" s="14"/>
      <x:c r="I152" s="15"/>
      <x:c r="J152" s="15"/>
      <x:c r="K152" s="7" t="str">
        <x:v>Image analysis, paragraph 2</x:v>
      </x:c>
      <x:c r="L152" s="7" t="str">
        <x:v>Definition</x:v>
      </x:c>
      <x:c r="M152" s="7" t="str">
        <x:v>E048</x:v>
      </x:c>
      <x:c r="N152" s="7" t="str">
        <x:v>XML</x:v>
      </x:c>
    </x:row>
    <x:row r="153" ht="54" customHeight="1">
      <x:c r="A153" s="7" t="str">
        <x:v>Q147</x:v>
      </x:c>
      <x:c r="B153" s="7" t="str">
        <x:v>Methods</x:v>
      </x:c>
      <x:c r="C153" s="7" t="str">
        <x:v>Numerical</x:v>
      </x:c>
      <x:c r="D153" s="7" t="str">
        <x:v>How was autophagosome density calculated from kymographs?</x:v>
      </x:c>
      <x:c r="E153" s="7" t="str">
        <x:v>1. Total vesicle count
2. Normalized by kymograph length in micrometers.</x:v>
      </x:c>
      <x:c r="F153" s="9" t="n">
        <x:v>2</x:v>
      </x:c>
      <x:c r="G153" s="14"/>
      <x:c r="H153" s="14"/>
      <x:c r="I153" s="15"/>
      <x:c r="J153" s="15"/>
      <x:c r="K153" s="7" t="str">
        <x:v>Image analysis, paragraph 2</x:v>
      </x:c>
      <x:c r="L153" s="7" t="str">
        <x:v>Definition</x:v>
      </x:c>
      <x:c r="M153" s="7" t="str">
        <x:v>E048</x:v>
      </x:c>
      <x:c r="N153" s="7" t="str">
        <x:v>XML</x:v>
      </x:c>
    </x:row>
    <x:row r="154" ht="54" customHeight="1">
      <x:c r="A154" s="7" t="str">
        <x:v>Q148</x:v>
      </x:c>
      <x:c r="B154" s="7" t="str">
        <x:v>Methods</x:v>
      </x:c>
      <x:c r="C154" s="7" t="str">
        <x:v>Numerical</x:v>
      </x:c>
      <x:c r="D154" s="7" t="str">
        <x:v>How was flux defined, including included populations and units?</x:v>
      </x:c>
      <x:c r="E154" s="7" t="str">
        <x:v>1. Retrograde plus anterograde vesicles, excluding bidirectional/stationary vesicles
2. Normalized by kymograph length and video duration
3. Reported as vesicles moving within 100 µm per minute.</x:v>
      </x:c>
      <x:c r="F154" s="9" t="n">
        <x:v>3</x:v>
      </x:c>
      <x:c r="G154" s="14"/>
      <x:c r="H154" s="14"/>
      <x:c r="I154" s="15"/>
      <x:c r="J154" s="15"/>
      <x:c r="K154" s="7" t="str">
        <x:v>Image analysis, paragraph 2</x:v>
      </x:c>
      <x:c r="L154" s="7" t="str">
        <x:v>Definition</x:v>
      </x:c>
      <x:c r="M154" s="7" t="str">
        <x:v>E048</x:v>
      </x:c>
      <x:c r="N154" s="7" t="str">
        <x:v>XML</x:v>
      </x:c>
    </x:row>
    <x:row r="155" ht="54" customHeight="1">
      <x:c r="A155" s="7" t="str">
        <x:v>Q149</x:v>
      </x:c>
      <x:c r="B155" s="7" t="str">
        <x:v>Methods</x:v>
      </x:c>
      <x:c r="C155" s="7" t="str">
        <x:v>Context</x:v>
      </x:c>
      <x:c r="D155" s="7" t="str">
        <x:v>What precise distal and proximal regions were defined for tandem-reporter analysis?</x:v>
      </x:c>
      <x:c r="E155" s="7" t="str">
        <x:v>1. Distal: within approximately 100 µm of the neurite end
2. Proximal: within approximately 200 µm of the cell body.</x:v>
      </x:c>
      <x:c r="F155" s="9" t="n">
        <x:v>2</x:v>
      </x:c>
      <x:c r="G155" s="14"/>
      <x:c r="H155" s="14"/>
      <x:c r="I155" s="15"/>
      <x:c r="J155" s="15"/>
      <x:c r="K155" s="7" t="str">
        <x:v>Image analysis, paragraph 2</x:v>
      </x:c>
      <x:c r="L155" s="7" t="str">
        <x:v>Definition</x:v>
      </x:c>
      <x:c r="M155" s="7" t="str">
        <x:v>E048</x:v>
      </x:c>
      <x:c r="N155" s="7" t="str">
        <x:v>XML</x:v>
      </x:c>
    </x:row>
    <x:row r="156" ht="54" customHeight="1">
      <x:c r="A156" s="7" t="str">
        <x:v>Q150</x:v>
      </x:c>
      <x:c r="B156" s="7" t="str">
        <x:v>Methods</x:v>
      </x:c>
      <x:c r="C156" s="7" t="str">
        <x:v>Context</x:v>
      </x:c>
      <x:c r="D156" s="7" t="str">
        <x:v>What source material, volume and sucrose concentration were used for autophagosome fractionation?</x:v>
      </x:c>
      <x:c r="E156" s="7" t="str">
        <x:v>1. Two mouse brains homogenized in 10 ml
2. 250 mM sucrose in 10 mM Hepes-KOH, pH 7.4.</x:v>
      </x:c>
      <x:c r="F156" s="9" t="n">
        <x:v>2</x:v>
      </x:c>
      <x:c r="G156" s="14"/>
      <x:c r="H156" s="14"/>
      <x:c r="I156" s="15"/>
      <x:c r="J156" s="15"/>
      <x:c r="K156" s="7" t="str">
        <x:v>Biochemistry</x:v>
      </x:c>
      <x:c r="L156" s="7" t="str">
        <x:v>Protocol</x:v>
      </x:c>
      <x:c r="M156" s="7" t="str">
        <x:v>E050</x:v>
      </x:c>
      <x:c r="N156" s="7" t="str">
        <x:v>XML</x:v>
      </x:c>
    </x:row>
    <x:row r="157" ht="54" customHeight="1">
      <x:c r="A157" s="7" t="str">
        <x:v>Q151</x:v>
      </x:c>
      <x:c r="B157" s="7" t="str">
        <x:v>Methods</x:v>
      </x:c>
      <x:c r="C157" s="7" t="str">
        <x:v>Context</x:v>
      </x:c>
      <x:c r="D157" s="7" t="str">
        <x:v>What buffer component was added for the three-step gradient, and how was protein loading controlled?</x:v>
      </x:c>
      <x:c r="E157" s="7" t="str">
        <x:v>1. 1 mM EDTA was included for the three-step protocol
2. Equal total protein from low-speed supernatant and autophagosome-enriched fractions was analyzed by SDS-PAGE/immunoblotting.</x:v>
      </x:c>
      <x:c r="F157" s="9" t="n">
        <x:v>2</x:v>
      </x:c>
      <x:c r="G157" s="14"/>
      <x:c r="H157" s="14"/>
      <x:c r="I157" s="15"/>
      <x:c r="J157" s="15"/>
      <x:c r="K157" s="7" t="str">
        <x:v>Biochemistry</x:v>
      </x:c>
      <x:c r="L157" s="7" t="str">
        <x:v>Protocol</x:v>
      </x:c>
      <x:c r="M157" s="7" t="str">
        <x:v>E050</x:v>
      </x:c>
      <x:c r="N157" s="7" t="str">
        <x:v>XML</x:v>
      </x:c>
    </x:row>
    <x:row r="158" ht="54" customHeight="1">
      <x:c r="A158" s="7" t="str">
        <x:v>Q152</x:v>
      </x:c>
      <x:c r="B158" s="7" t="str">
        <x:v>Methods</x:v>
      </x:c>
      <x:c r="C158" s="7" t="str">
        <x:v>Entity</x:v>
      </x:c>
      <x:c r="D158" s="7" t="str">
        <x:v>What homogenizer and rotors were specified for fractionation?</x:v>
      </x:c>
      <x:c r="E158" s="7" t="str">
        <x:v>1. 30-ml homogenizer with a round-bottom Teflon pestle
2. SW41 rotor for proportionately scaled gradient steps
3. TLS-55 rotor for the final three-step gradient.</x:v>
      </x:c>
      <x:c r="F158" s="9" t="n">
        <x:v>3</x:v>
      </x:c>
      <x:c r="G158" s="14"/>
      <x:c r="H158" s="14"/>
      <x:c r="I158" s="15"/>
      <x:c r="J158" s="15"/>
      <x:c r="K158" s="7" t="str">
        <x:v>Biochemistry</x:v>
      </x:c>
      <x:c r="L158" s="7" t="str">
        <x:v>Protocol</x:v>
      </x:c>
      <x:c r="M158" s="7" t="str">
        <x:v>E050</x:v>
      </x:c>
      <x:c r="N158" s="7" t="str">
        <x:v>XML</x:v>
      </x:c>
    </x:row>
    <x:row r="159" ht="54" customHeight="1">
      <x:c r="A159" s="7" t="str">
        <x:v>Q153</x:v>
      </x:c>
      <x:c r="B159" s="7" t="str">
        <x:v>Methods</x:v>
      </x:c>
      <x:c r="C159" s="7" t="str">
        <x:v>Context</x:v>
      </x:c>
      <x:c r="D159" s="7" t="str">
        <x:v>What fixation and blocking/permeabilization conditions were used for immunofluorescence?</x:v>
      </x:c>
      <x:c r="E159" s="7" t="str">
        <x:v>1. 3% PFA in PBS for 15 minutes at room temperature
2. 2% BSA and 0.1% saponin in PBS for 1 hour.</x:v>
      </x:c>
      <x:c r="F159" s="9" t="n">
        <x:v>2</x:v>
      </x:c>
      <x:c r="G159" s="14"/>
      <x:c r="H159" s="14"/>
      <x:c r="I159" s="15"/>
      <x:c r="J159" s="15"/>
      <x:c r="K159" s="7" t="str">
        <x:v>Immunofluorescence</x:v>
      </x:c>
      <x:c r="L159" s="7" t="str">
        <x:v>Protocol</x:v>
      </x:c>
      <x:c r="M159" s="7" t="str">
        <x:v>E052</x:v>
      </x:c>
      <x:c r="N159" s="7" t="str">
        <x:v>XML</x:v>
      </x:c>
    </x:row>
    <x:row r="160" ht="54" customHeight="1">
      <x:c r="A160" s="7" t="str">
        <x:v>Q154</x:v>
      </x:c>
      <x:c r="B160" s="7" t="str">
        <x:v>Methods</x:v>
      </x:c>
      <x:c r="C160" s="7" t="str">
        <x:v>Context</x:v>
      </x:c>
      <x:c r="D160" s="7" t="str">
        <x:v>What were the antibody incubation, wash and mounting steps?</x:v>
      </x:c>
      <x:c r="E160" s="7" t="str">
        <x:v>1. Primary antibody for 1 hour, then 3 × 5-minute washes
2. Secondary antibody for 1 hour, then 3 × 5-minute washes
3. Mounted with ProLong gold.</x:v>
      </x:c>
      <x:c r="F160" s="9" t="n">
        <x:v>3</x:v>
      </x:c>
      <x:c r="G160" s="14"/>
      <x:c r="H160" s="14"/>
      <x:c r="I160" s="15"/>
      <x:c r="J160" s="15"/>
      <x:c r="K160" s="7" t="str">
        <x:v>Immunofluorescence</x:v>
      </x:c>
      <x:c r="L160" s="7" t="str">
        <x:v>Protocol</x:v>
      </x:c>
      <x:c r="M160" s="7" t="str">
        <x:v>E052</x:v>
      </x:c>
      <x:c r="N160" s="7" t="str">
        <x:v>XML</x:v>
      </x:c>
    </x:row>
    <x:row r="161" ht="54" customHeight="1">
      <x:c r="A161" s="7" t="str">
        <x:v>Q155</x:v>
      </x:c>
      <x:c r="B161" s="7" t="str">
        <x:v>Methods</x:v>
      </x:c>
      <x:c r="C161" s="7" t="str">
        <x:v>Provenance</x:v>
      </x:c>
      <x:c r="D161" s="7" t="str">
        <x:v>Which body approved the animal protocols?</x:v>
      </x:c>
      <x:c r="E161" s="7" t="str">
        <x:v>1. The Institutional Animal Care and Use Committee at the University of Pennsylvania.</x:v>
      </x:c>
      <x:c r="F161" s="9" t="n">
        <x:v>1</x:v>
      </x:c>
      <x:c r="G161" s="14"/>
      <x:c r="H161" s="14"/>
      <x:c r="I161" s="15"/>
      <x:c r="J161" s="15"/>
      <x:c r="K161" s="7" t="str">
        <x:v>GFP-LC3 × SOD1G93A cross</x:v>
      </x:c>
      <x:c r="L161" s="7" t="str">
        <x:v>Protocol</x:v>
      </x:c>
      <x:c r="M161" s="7" t="str">
        <x:v>E041</x:v>
      </x:c>
      <x:c r="N161" s="7" t="str">
        <x:v>XML</x:v>
      </x:c>
    </x:row>
    <x:row r="162" ht="54" customHeight="1">
      <x:c r="A162" s="7" t="str">
        <x:v>Q156</x:v>
      </x:c>
      <x:c r="B162" s="7" t="str">
        <x:v>Supplement</x:v>
      </x:c>
      <x:c r="C162" s="7" t="str">
        <x:v>Provenance</x:v>
      </x:c>
      <x:c r="D162" s="7" t="str">
        <x:v>What independent questions are addressed by Fig. S1 A–D?</x:v>
      </x:c>
      <x:c r="E162" s="7" t="str">
        <x:v>1. A: microtubule polarity from EB3 movement; B: axonal GFP-LC3 FRAP
2. C: mean vesicle velocities; D: percentage of time paused.</x:v>
      </x:c>
      <x:c r="F162" s="9" t="n">
        <x:v>2</x:v>
      </x:c>
      <x:c r="G162" s="14"/>
      <x:c r="H162" s="14"/>
      <x:c r="I162" s="15"/>
      <x:c r="J162" s="15"/>
      <x:c r="K162" s="7" t="str">
        <x:v>Fig. S1; Online supplemental material</x:v>
      </x:c>
      <x:c r="L162" s="7" t="str">
        <x:v>Direct observation</x:v>
      </x:c>
      <x:c r="M162" s="7" t="str">
        <x:v>S001, E054</x:v>
      </x:c>
      <x:c r="N162" s="7" t="str">
        <x:v>XML+supplement</x:v>
      </x:c>
    </x:row>
    <x:row r="163" ht="54" customHeight="1">
      <x:c r="A163" s="7" t="str">
        <x:v>Q157</x:v>
      </x:c>
      <x:c r="B163" s="7" t="str">
        <x:v>Supplement</x:v>
      </x:c>
      <x:c r="C163" s="7" t="str">
        <x:v>Provenance</x:v>
      </x:c>
      <x:c r="D163" s="7" t="str">
        <x:v>Which supplemental panels support kinesin-2 association and absence of a Golgi marker?</x:v>
      </x:c>
      <x:c r="E163" s="7" t="str">
        <x:v>1. Fig. S2 B: mCherry-Kif3A with GFP-LC3
2. Fig. S2 C: GPP130-mCherry negative in GFP-LC3-positive axonal vesicles.</x:v>
      </x:c>
      <x:c r="F163" s="9" t="n">
        <x:v>2</x:v>
      </x:c>
      <x:c r="G163" s="14"/>
      <x:c r="H163" s="14"/>
      <x:c r="I163" s="15"/>
      <x:c r="J163" s="15"/>
      <x:c r="K163" s="7" t="str">
        <x:v>Fig. S2 B–C</x:v>
      </x:c>
      <x:c r="L163" s="7" t="str">
        <x:v>Direct observation</x:v>
      </x:c>
      <x:c r="M163" s="7" t="str">
        <x:v>S002</x:v>
      </x:c>
      <x:c r="N163" s="7" t="str">
        <x:v>XML+supplement</x:v>
      </x:c>
    </x:row>
    <x:row r="164" ht="54" customHeight="1">
      <x:c r="A164" s="7" t="str">
        <x:v>Q158</x:v>
      </x:c>
      <x:c r="B164" s="7" t="str">
        <x:v>Supplement</x:v>
      </x:c>
      <x:c r="C164" s="7" t="str">
        <x:v>Provenance</x:v>
      </x:c>
      <x:c r="D164" s="7" t="str">
        <x:v>Which panels distinguish LysoTracker association with late versus early endosomal compartments?</x:v>
      </x:c>
      <x:c r="E164" s="7" t="str">
        <x:v>1. Fig. S2 D: LysoTracker-positive compartments largely lack GFP-Rab5
2. Fig. S2 E: LysoTracker-positive compartments colocalize with GFP-Rab7.</x:v>
      </x:c>
      <x:c r="F164" s="9" t="n">
        <x:v>2</x:v>
      </x:c>
      <x:c r="G164" s="14"/>
      <x:c r="H164" s="14"/>
      <x:c r="I164" s="15"/>
      <x:c r="J164" s="15"/>
      <x:c r="K164" s="7" t="str">
        <x:v>Fig. S2 D–E</x:v>
      </x:c>
      <x:c r="L164" s="7" t="str">
        <x:v>Direct observation</x:v>
      </x:c>
      <x:c r="M164" s="7" t="str">
        <x:v>S002</x:v>
      </x:c>
      <x:c r="N164" s="7" t="str">
        <x:v>XML+supplement</x:v>
      </x:c>
    </x:row>
    <x:row r="165" ht="54" customHeight="1">
      <x:c r="A165" s="7" t="str">
        <x:v>Q159</x:v>
      </x:c>
      <x:c r="B165" s="7" t="str">
        <x:v>Supplement</x:v>
      </x:c>
      <x:c r="C165" s="7" t="str">
        <x:v>Provenance</x:v>
      </x:c>
      <x:c r="D165" s="7" t="str">
        <x:v>Which figure contains the ALS-model aggregate, motility, velocity, density and flux evidence?</x:v>
      </x:c>
      <x:c r="E165" s="7" t="str">
        <x:v>1. Fig. S3 A: aggregates; B–C: live movement and kymographs
2. D: directional categories; E: velocity
3. F: density; G: flux.</x:v>
      </x:c>
      <x:c r="F165" s="9" t="n">
        <x:v>3</x:v>
      </x:c>
      <x:c r="G165" s="14"/>
      <x:c r="H165" s="14"/>
      <x:c r="I165" s="15"/>
      <x:c r="J165" s="15"/>
      <x:c r="K165" s="7" t="str">
        <x:v>Fig. S3 A–G</x:v>
      </x:c>
      <x:c r="L165" s="7" t="str">
        <x:v>Direct observation</x:v>
      </x:c>
      <x:c r="M165" s="7" t="str">
        <x:v>S003</x:v>
      </x:c>
      <x:c r="N165" s="7" t="str">
        <x:v>XML+supplement</x:v>
      </x:c>
    </x:row>
    <x:row r="166" ht="54" customHeight="1">
      <x:c r="A166" s="7" t="str">
        <x:v>Q160</x:v>
      </x:c>
      <x:c r="B166" s="7" t="str">
        <x:v>Supplement</x:v>
      </x:c>
      <x:c r="C166" s="7" t="str">
        <x:v>Provenance</x:v>
      </x:c>
      <x:c r="D166" s="7" t="str">
        <x:v>What does Video 1 document, and which main-figure panel contains its stills?</x:v>
      </x:c>
      <x:c r="E166" s="7" t="str">
        <x:v>1. Distal GFP-LC3 puncta appearing and growing into rings
2. Fig. 1 C.</x:v>
      </x:c>
      <x:c r="F166" s="9" t="n">
        <x:v>2</x:v>
      </x:c>
      <x:c r="G166" s="14"/>
      <x:c r="H166" s="14"/>
      <x:c r="I166" s="15"/>
      <x:c r="J166" s="15"/>
      <x:c r="K166" s="7" t="str">
        <x:v>Video 1 caption; Online supplemental material</x:v>
      </x:c>
      <x:c r="L166" s="7" t="str">
        <x:v>Direct observation</x:v>
      </x:c>
      <x:c r="M166" s="7" t="str">
        <x:v>S004, E054</x:v>
      </x:c>
      <x:c r="N166" s="7" t="str">
        <x:v>XML+supplement</x:v>
      </x:c>
    </x:row>
    <x:row r="167" ht="54" customHeight="1">
      <x:c r="A167" s="7" t="str">
        <x:v>Q161</x:v>
      </x:c>
      <x:c r="B167" s="7" t="str">
        <x:v>Supplement</x:v>
      </x:c>
      <x:c r="C167" s="7" t="str">
        <x:v>Numerical</x:v>
      </x:c>
      <x:c r="D167" s="7" t="str">
        <x:v>What acquisition duration, frame interval and playback speed were specified for Video 1?</x:v>
      </x:c>
      <x:c r="E167" s="7" t="str">
        <x:v>1. 16.5 minutes, one frame every 3 seconds
2. Playback at 21× real time.</x:v>
      </x:c>
      <x:c r="F167" s="9" t="n">
        <x:v>2</x:v>
      </x:c>
      <x:c r="G167" s="14"/>
      <x:c r="H167" s="14"/>
      <x:c r="I167" s="15"/>
      <x:c r="J167" s="15"/>
      <x:c r="K167" s="7" t="str">
        <x:v>Video 1 caption</x:v>
      </x:c>
      <x:c r="L167" s="7" t="str">
        <x:v>Protocol</x:v>
      </x:c>
      <x:c r="M167" s="7" t="str">
        <x:v>S004</x:v>
      </x:c>
      <x:c r="N167" s="7" t="str">
        <x:v>XML+supplement</x:v>
      </x:c>
    </x:row>
    <x:row r="168" ht="54" customHeight="1">
      <x:c r="A168" s="7" t="str">
        <x:v>Q162</x:v>
      </x:c>
      <x:c r="B168" s="7" t="str">
        <x:v>Supplement</x:v>
      </x:c>
      <x:c r="C168" s="7" t="str">
        <x:v>Provenance</x:v>
      </x:c>
      <x:c r="D168" s="7" t="str">
        <x:v>What transition does Video 2 illustrate, and which panel contains its kymograph?</x:v>
      </x:c>
      <x:c r="E168" s="7" t="str">
        <x:v>1. Escape from distal bidirectional movement into processive soma-directed retrograde transport
2. Fig. 1 F.</x:v>
      </x:c>
      <x:c r="F168" s="9" t="n">
        <x:v>2</x:v>
      </x:c>
      <x:c r="G168" s="14"/>
      <x:c r="H168" s="14"/>
      <x:c r="I168" s="15"/>
      <x:c r="J168" s="15"/>
      <x:c r="K168" s="7" t="str">
        <x:v>Video 2 caption</x:v>
      </x:c>
      <x:c r="L168" s="7" t="str">
        <x:v>Direct observation</x:v>
      </x:c>
      <x:c r="M168" s="7" t="str">
        <x:v>S004, E054</x:v>
      </x:c>
      <x:c r="N168" s="7" t="str">
        <x:v>XML+supplement</x:v>
      </x:c>
    </x:row>
    <x:row r="169" ht="54" customHeight="1">
      <x:c r="A169" s="7" t="str">
        <x:v>Q163</x:v>
      </x:c>
      <x:c r="B169" s="7" t="str">
        <x:v>Supplement</x:v>
      </x:c>
      <x:c r="C169" s="7" t="str">
        <x:v>Numerical</x:v>
      </x:c>
      <x:c r="D169" s="7" t="str">
        <x:v>What acquisition duration, frame interval and playback speed were specified for Video 2?</x:v>
      </x:c>
      <x:c r="E169" s="7" t="str">
        <x:v>1. 7.4 minutes, one frame every 3 seconds
2. Playback at 21× real time.</x:v>
      </x:c>
      <x:c r="F169" s="9" t="n">
        <x:v>2</x:v>
      </x:c>
      <x:c r="G169" s="14"/>
      <x:c r="H169" s="14"/>
      <x:c r="I169" s="15"/>
      <x:c r="J169" s="15"/>
      <x:c r="K169" s="7" t="str">
        <x:v>Video 2 caption</x:v>
      </x:c>
      <x:c r="L169" s="7" t="str">
        <x:v>Protocol</x:v>
      </x:c>
      <x:c r="M169" s="7" t="str">
        <x:v>S004</x:v>
      </x:c>
      <x:c r="N169" s="7" t="str">
        <x:v>XML+supplement</x:v>
      </x:c>
    </x:row>
    <x:row r="170" ht="54" customHeight="1">
      <x:c r="A170" s="7" t="str">
        <x:v>Q164</x:v>
      </x:c>
      <x:c r="B170" s="7" t="str">
        <x:v>Supplement</x:v>
      </x:c>
      <x:c r="C170" s="7" t="str">
        <x:v>Provenance</x:v>
      </x:c>
      <x:c r="D170" s="7" t="str">
        <x:v>What does Video 3 illustrate, and where are its stills and kymographs shown?</x:v>
      </x:c>
      <x:c r="E170" s="7" t="str">
        <x:v>1. Robust retrograde axonal transport of GFP-LC3 autophagosomes
2. Fig. 1 H–I.</x:v>
      </x:c>
      <x:c r="F170" s="9" t="n">
        <x:v>2</x:v>
      </x:c>
      <x:c r="G170" s="14"/>
      <x:c r="H170" s="14"/>
      <x:c r="I170" s="15"/>
      <x:c r="J170" s="15"/>
      <x:c r="K170" s="7" t="str">
        <x:v>Video 3 caption</x:v>
      </x:c>
      <x:c r="L170" s="7" t="str">
        <x:v>Direct observation</x:v>
      </x:c>
      <x:c r="M170" s="7" t="str">
        <x:v>S004</x:v>
      </x:c>
      <x:c r="N170" s="7" t="str">
        <x:v>XML+supplement</x:v>
      </x:c>
    </x:row>
    <x:row r="171" ht="54" customHeight="1">
      <x:c r="A171" s="7" t="str">
        <x:v>Q165</x:v>
      </x:c>
      <x:c r="B171" s="7" t="str">
        <x:v>Supplement</x:v>
      </x:c>
      <x:c r="C171" s="7" t="str">
        <x:v>Numerical</x:v>
      </x:c>
      <x:c r="D171" s="7" t="str">
        <x:v>What recording and playback settings were specified for Video 3?</x:v>
      </x:c>
      <x:c r="E171" s="7" t="str">
        <x:v>1. One frame every 3 seconds for 3 minutes
2. Playback at 21× real time.</x:v>
      </x:c>
      <x:c r="F171" s="9" t="n">
        <x:v>2</x:v>
      </x:c>
      <x:c r="G171" s="14"/>
      <x:c r="H171" s="14"/>
      <x:c r="I171" s="15"/>
      <x:c r="J171" s="15"/>
      <x:c r="K171" s="7" t="str">
        <x:v>Video 3 caption</x:v>
      </x:c>
      <x:c r="L171" s="7" t="str">
        <x:v>Protocol</x:v>
      </x:c>
      <x:c r="M171" s="7" t="str">
        <x:v>S004</x:v>
      </x:c>
      <x:c r="N171" s="7" t="str">
        <x:v>XML+supplement</x:v>
      </x:c>
    </x:row>
    <x:row r="172" ht="54" customHeight="1">
      <x:c r="A172" s="7" t="str">
        <x:v>Q166</x:v>
      </x:c>
      <x:c r="B172" s="7" t="str">
        <x:v>Supplement</x:v>
      </x:c>
      <x:c r="C172" s="7" t="str">
        <x:v>Provenance</x:v>
      </x:c>
      <x:c r="D172" s="7" t="str">
        <x:v>Which dynein reporter was used in Video 4, and where is its main-figure evidence?</x:v>
      </x:c>
      <x:c r="E172" s="7" t="str">
        <x:v>1. DIC1B-mCherry, co-migrating with GFP-LC3 autophagosomes
2. Fig. 2 C.</x:v>
      </x:c>
      <x:c r="F172" s="9" t="n">
        <x:v>2</x:v>
      </x:c>
      <x:c r="G172" s="14"/>
      <x:c r="H172" s="14"/>
      <x:c r="I172" s="15"/>
      <x:c r="J172" s="15"/>
      <x:c r="K172" s="7" t="str">
        <x:v>Video 4 caption</x:v>
      </x:c>
      <x:c r="L172" s="7" t="str">
        <x:v>Direct observation</x:v>
      </x:c>
      <x:c r="M172" s="7" t="str">
        <x:v>S004</x:v>
      </x:c>
      <x:c r="N172" s="7" t="str">
        <x:v>XML+supplement</x:v>
      </x:c>
    </x:row>
    <x:row r="173" ht="54" customHeight="1">
      <x:c r="A173" s="7" t="str">
        <x:v>Q167</x:v>
      </x:c>
      <x:c r="B173" s="7" t="str">
        <x:v>Supplement</x:v>
      </x:c>
      <x:c r="C173" s="7" t="str">
        <x:v>Provenance</x:v>
      </x:c>
      <x:c r="D173" s="7" t="str">
        <x:v>Which dynein reporter was used in Video 5, and where is its supplemental-figure evidence?</x:v>
      </x:c>
      <x:c r="E173" s="7" t="str">
        <x:v>1. DIC2C-mCherry, co-migrating with GFP-LC3 autophagosomes
2. Fig. S2 A.</x:v>
      </x:c>
      <x:c r="F173" s="9" t="n">
        <x:v>2</x:v>
      </x:c>
      <x:c r="G173" s="14"/>
      <x:c r="H173" s="14"/>
      <x:c r="I173" s="15"/>
      <x:c r="J173" s="15"/>
      <x:c r="K173" s="7" t="str">
        <x:v>Video 5 caption</x:v>
      </x:c>
      <x:c r="L173" s="7" t="str">
        <x:v>Direct observation</x:v>
      </x:c>
      <x:c r="M173" s="7" t="str">
        <x:v>S004</x:v>
      </x:c>
      <x:c r="N173" s="7" t="str">
        <x:v>XML+supplement</x:v>
      </x:c>
    </x:row>
    <x:row r="174" ht="54" customHeight="1">
      <x:c r="A174" s="7" t="str">
        <x:v>Q168</x:v>
      </x:c>
      <x:c r="B174" s="7" t="str">
        <x:v>Supplement</x:v>
      </x:c>
      <x:c r="C174" s="7" t="str">
        <x:v>Numerical</x:v>
      </x:c>
      <x:c r="D174" s="7" t="str">
        <x:v>What acquisition and playback settings were shared by Videos 4 and 5?</x:v>
      </x:c>
      <x:c r="E174" s="7" t="str">
        <x:v>1. One frame every 2 seconds for 5 minutes
2. Playback at 20× real time.</x:v>
      </x:c>
      <x:c r="F174" s="9" t="n">
        <x:v>2</x:v>
      </x:c>
      <x:c r="G174" s="14"/>
      <x:c r="H174" s="14"/>
      <x:c r="I174" s="15"/>
      <x:c r="J174" s="15"/>
      <x:c r="K174" s="7" t="str">
        <x:v>Video 4–5 captions</x:v>
      </x:c>
      <x:c r="L174" s="7" t="str">
        <x:v>Protocol</x:v>
      </x:c>
      <x:c r="M174" s="7" t="str">
        <x:v>S004</x:v>
      </x:c>
      <x:c r="N174" s="7" t="str">
        <x:v>XML+supplement</x:v>
      </x:c>
    </x:row>
    <x:row r="175" ht="54" customHeight="1">
      <x:c r="A175" s="7" t="str">
        <x:v>Q169</x:v>
      </x:c>
      <x:c r="B175" s="7" t="str">
        <x:v>Supplement</x:v>
      </x:c>
      <x:c r="C175" s="7" t="str">
        <x:v>Provenance</x:v>
      </x:c>
      <x:c r="D175" s="7" t="str">
        <x:v>What do the Fig. 1, Fig. 2 and Fig. 5 legends report as their principal sample units?</x:v>
      </x:c>
      <x:c r="E175" s="7" t="str">
        <x:v>1. Fig. 1 G: 91 neurites
2. Fig. 2 A–B: 173 tracked vesicles, with 8,872 instantaneous-velocity events in A
3. Fig. 5 E–F: 9 neurites.</x:v>
      </x:c>
      <x:c r="F175" s="9" t="n">
        <x:v>3</x:v>
      </x:c>
      <x:c r="G175" s="14"/>
      <x:c r="H175" s="14"/>
      <x:c r="I175" s="15"/>
      <x:c r="J175" s="15"/>
      <x:c r="K175" s="7" t="str">
        <x:v>Main figure legends</x:v>
      </x:c>
      <x:c r="L175" s="7" t="str">
        <x:v>Definition</x:v>
      </x:c>
      <x:c r="M175" s="7" t="str">
        <x:v>E011, E016, E032</x:v>
      </x:c>
      <x:c r="N175" s="7" t="str">
        <x:v>XML</x:v>
      </x:c>
    </x:row>
    <x:row r="176" ht="54" customHeight="1">
      <x:c r="A176" s="7" t="str">
        <x:v>Q170</x:v>
      </x:c>
      <x:c r="B176" s="7" t="str">
        <x:v>Supplement</x:v>
      </x:c>
      <x:c r="C176" s="7" t="str">
        <x:v>Context</x:v>
      </x:c>
      <x:c r="D176" s="7" t="str">
        <x:v>What contrast-processing caveat was disclosed for the distal cargo FRAP images?</x:v>
      </x:c>
      <x:c r="E176" s="7" t="str">
        <x:v>1. Prebleach/bleach images used different contrast enhancement from recovery images
2. This was disclosed for distal FRAP in the Fig. 3 legend.</x:v>
      </x:c>
      <x:c r="F176" s="9" t="n">
        <x:v>2</x:v>
      </x:c>
      <x:c r="G176" s="14"/>
      <x:c r="H176" s="14"/>
      <x:c r="I176" s="15"/>
      <x:c r="J176" s="15"/>
      <x:c r="K176" s="7" t="str">
        <x:v>Fig. 3 legend</x:v>
      </x:c>
      <x:c r="L176" s="7" t="str">
        <x:v>Limitation</x:v>
      </x:c>
      <x:c r="M176" s="7" t="str">
        <x:v>E022</x:v>
      </x:c>
      <x:c r="N176" s="7" t="str">
        <x:v>XML</x:v>
      </x:c>
    </x:row>
    <x:row r="177" ht="96" customHeight="1">
      <x:c r="A177" s="7" t="str">
        <x:v>Q171</x:v>
      </x:c>
      <x:c r="B177" s="7" t="str">
        <x:v>Synthesis</x:v>
      </x:c>
      <x:c r="C177" s="7" t="str">
        <x:v>Multi-hop</x:v>
      </x:c>
      <x:c r="D177" s="7" t="str">
        <x:v>Reconstruct the proposed spatial sequence from autophagosome formation to the mature compartment near the soma.</x:v>
      </x:c>
      <x:c r="E177" s="7" t="str">
        <x:v>1. Distal formation with stationary/bidirectional movement
2. Exit into dynein-driven processive retrograde transport, accompanied by acquisition of late-endosome/lysosome markers
3. Increasing acidification toward the soma
4. A fully acidified autolysosome-like compartment shows increased bidirectional/stationary movement.</x:v>
      </x:c>
      <x:c r="F177" s="9" t="n">
        <x:v>4</x:v>
      </x:c>
      <x:c r="G177" s="14"/>
      <x:c r="H177" s="14"/>
      <x:c r="I177" s="15"/>
      <x:c r="J177" s="15"/>
      <x:c r="K177" s="7" t="str">
        <x:v>Results across distal initiation, transport and maturation; Fig. 5 G</x:v>
      </x:c>
      <x:c r="L177" s="7" t="str">
        <x:v>Synthesis</x:v>
      </x:c>
      <x:c r="M177" s="7" t="str">
        <x:v>E012, E014, E028, E030, E033, E034, E036</x:v>
      </x:c>
      <x:c r="N177" s="7" t="str">
        <x:v>XML</x:v>
      </x:c>
    </x:row>
    <x:row r="178" ht="54" customHeight="1">
      <x:c r="A178" s="7" t="str">
        <x:v>Q172</x:v>
      </x:c>
      <x:c r="B178" s="7" t="str">
        <x:v>Synthesis</x:v>
      </x:c>
      <x:c r="C178" s="7" t="str">
        <x:v>Multi-hop</x:v>
      </x:c>
      <x:c r="D178" s="7" t="str">
        <x:v>Connect microtubule polarity, motor directionality and the observed destination of most autophagosomes.</x:v>
      </x:c>
      <x:c r="E178" s="7" t="str">
        <x:v>1. Axonal microtubule plus ends face outward
2. Minus-end-directed dynein therefore drives movement toward the soma
3. Most axonal autophagosomes move retrogradely.</x:v>
      </x:c>
      <x:c r="F178" s="9" t="n">
        <x:v>3</x:v>
      </x:c>
      <x:c r="G178" s="14"/>
      <x:c r="H178" s="14"/>
      <x:c r="I178" s="15"/>
      <x:c r="J178" s="15"/>
      <x:c r="K178" s="7" t="str">
        <x:v>Results, distal initiation and motors</x:v>
      </x:c>
      <x:c r="L178" s="7" t="str">
        <x:v>Synthesis</x:v>
      </x:c>
      <x:c r="M178" s="7" t="str">
        <x:v>E009, E014, E018</x:v>
      </x:c>
      <x:c r="N178" s="7" t="str">
        <x:v>XML</x:v>
      </x:c>
    </x:row>
    <x:row r="179" ht="54" customHeight="1">
      <x:c r="A179" s="7" t="str">
        <x:v>Q173</x:v>
      </x:c>
      <x:c r="B179" s="7" t="str">
        <x:v>Synthesis</x:v>
      </x:c>
      <x:c r="C179" s="7" t="str">
        <x:v>Multi-hop</x:v>
      </x:c>
      <x:c r="D179" s="7" t="str">
        <x:v>Which findings argue that motor presence alone does not predict transport direction?</x:v>
      </x:c>
      <x:c r="E179" s="7" t="str">
        <x:v>1. Both kinesin and dynein associate with autophagosomes
2. Net axonal movement is nevertheless strongly retrograde
3. The authors propose regulation of associated motor activity.</x:v>
      </x:c>
      <x:c r="F179" s="9" t="n">
        <x:v>3</x:v>
      </x:c>
      <x:c r="G179" s="14"/>
      <x:c r="H179" s="14"/>
      <x:c r="I179" s="15"/>
      <x:c r="J179" s="15"/>
      <x:c r="K179" s="7" t="str">
        <x:v>Motor results; maturation model</x:v>
      </x:c>
      <x:c r="L179" s="7" t="str">
        <x:v>Synthesis</x:v>
      </x:c>
      <x:c r="M179" s="7" t="str">
        <x:v>E018, E019, E036</x:v>
      </x:c>
      <x:c r="N179" s="7" t="str">
        <x:v>XML</x:v>
      </x:c>
    </x:row>
    <x:row r="180" ht="68" customHeight="1">
      <x:c r="A180" s="7" t="str">
        <x:v>Q174</x:v>
      </x:c>
      <x:c r="B180" s="7" t="str">
        <x:v>Synthesis</x:v>
      </x:c>
      <x:c r="C180" s="7" t="str">
        <x:v>Multi-hop</x:v>
      </x:c>
      <x:c r="D180" s="7" t="str">
        <x:v>Which combined observations support uptake of both soluble proteins and organelle material?</x:v>
      </x:c>
      <x:c r="E180" s="7" t="str">
        <x:v>1. RFP-Ub and mCherry-SOD1G93A were present and remained bleached inside autophagosomes after FRAP
2. Mitochondrial fragments co-migrated with GFP-LC3 autophagosomes
3. mCherry alone was also engulfed, supporting basal soluble cargo capture.</x:v>
      </x:c>
      <x:c r="F180" s="9" t="n">
        <x:v>3</x:v>
      </x:c>
      <x:c r="G180" s="14"/>
      <x:c r="H180" s="14"/>
      <x:c r="I180" s="15"/>
      <x:c r="J180" s="15"/>
      <x:c r="K180" s="7" t="str">
        <x:v>Results, cargo transport</x:v>
      </x:c>
      <x:c r="L180" s="7" t="str">
        <x:v>Synthesis</x:v>
      </x:c>
      <x:c r="M180" s="7" t="str">
        <x:v>E021, E023, E024, E025</x:v>
      </x:c>
      <x:c r="N180" s="7" t="str">
        <x:v>XML</x:v>
      </x:c>
    </x:row>
    <x:row r="181" ht="68" customHeight="1">
      <x:c r="A181" s="7" t="str">
        <x:v>Q175</x:v>
      </x:c>
      <x:c r="B181" s="7" t="str">
        <x:v>Synthesis</x:v>
      </x:c>
      <x:c r="C181" s="7" t="str">
        <x:v>Uncertainty</x:v>
      </x:c>
      <x:c r="D181" s="7" t="str">
        <x:v>Why is LC3/cargo co-migration weaker evidence of internalization than the cargo FRAP experiment?</x:v>
      </x:c>
      <x:c r="E181" s="7" t="str">
        <x:v>1. Co-migration establishes spatially linked movement but alone does not establish luminal localization
2. Lack of luminal recovery while cytosol recovers supports cargo sequestration from the cytosolic pool.</x:v>
      </x:c>
      <x:c r="F181" s="9" t="n">
        <x:v>2</x:v>
      </x:c>
      <x:c r="G181" s="14"/>
      <x:c r="H181" s="14"/>
      <x:c r="I181" s="15"/>
      <x:c r="J181" s="15"/>
      <x:c r="K181" s="7" t="str">
        <x:v>Cargo results and FRAP</x:v>
      </x:c>
      <x:c r="L181" s="7" t="str">
        <x:v>Synthesis</x:v>
      </x:c>
      <x:c r="M181" s="7" t="str">
        <x:v>E023, E024</x:v>
      </x:c>
      <x:c r="N181" s="7" t="str">
        <x:v>XML</x:v>
      </x:c>
    </x:row>
    <x:row r="182" ht="68" customHeight="1">
      <x:c r="A182" s="7" t="str">
        <x:v>Q176</x:v>
      </x:c>
      <x:c r="B182" s="7" t="str">
        <x:v>Synthesis</x:v>
      </x:c>
      <x:c r="C182" s="7" t="str">
        <x:v>Multi-hop</x:v>
      </x:c>
      <x:c r="D182" s="7" t="str">
        <x:v>Compare distal and axonal LAMP1 and LysoTracker labeling without swapping the measurements.</x:v>
      </x:c>
      <x:c r="E182" s="7" t="str">
        <x:v>1. LAMP1: approximately 10% distally versus approximately 97% in retrograde axonal autophagosomes
2. LysoTracker: approximately 30–40% of distal rings versus approximately 96% of axonal autophagosomes.</x:v>
      </x:c>
      <x:c r="F182" s="9" t="n">
        <x:v>2</x:v>
      </x:c>
      <x:c r="G182" s="14"/>
      <x:c r="H182" s="14"/>
      <x:c r="I182" s="15"/>
      <x:c r="J182" s="15"/>
      <x:c r="K182" s="7" t="str">
        <x:v>Results, maturation, paragraphs 1–2</x:v>
      </x:c>
      <x:c r="L182" s="7" t="str">
        <x:v>Synthesis</x:v>
      </x:c>
      <x:c r="M182" s="7" t="str">
        <x:v>E028, E030</x:v>
      </x:c>
      <x:c r="N182" s="7" t="str">
        <x:v>XML</x:v>
      </x:c>
    </x:row>
    <x:row r="183" ht="54" customHeight="1">
      <x:c r="A183" s="7" t="str">
        <x:v>Q177</x:v>
      </x:c>
      <x:c r="B183" s="7" t="str">
        <x:v>Synthesis</x:v>
      </x:c>
      <x:c r="C183" s="7" t="str">
        <x:v>Uncertainty</x:v>
      </x:c>
      <x:c r="D183" s="7" t="str">
        <x:v>Why can an autophagosome remain singly tagged GFP-LC3 positive and still be acidified?</x:v>
      </x:c>
      <x:c r="E183" s="7" t="str">
        <x:v>1. The transgenic single GFP-LC3 signal can persist in LysoTracker-positive compartments
2. The tandem reporter's GFP signal is more sensitive to low-pH quenching.</x:v>
      </x:c>
      <x:c r="F183" s="9" t="n">
        <x:v>2</x:v>
      </x:c>
      <x:c r="G183" s="14"/>
      <x:c r="H183" s="14"/>
      <x:c r="I183" s="15"/>
      <x:c r="J183" s="15"/>
      <x:c r="K183" s="7" t="str">
        <x:v>Results, maturation, paragraph 3</x:v>
      </x:c>
      <x:c r="L183" s="7" t="str">
        <x:v>Synthesis</x:v>
      </x:c>
      <x:c r="M183" s="7" t="str">
        <x:v>E031</x:v>
      </x:c>
      <x:c r="N183" s="7" t="str">
        <x:v>XML</x:v>
      </x:c>
    </x:row>
    <x:row r="184" ht="82" customHeight="1">
      <x:c r="A184" s="7" t="str">
        <x:v>Q178</x:v>
      </x:c>
      <x:c r="B184" s="7" t="str">
        <x:v>Synthesis</x:v>
      </x:c>
      <x:c r="C184" s="7" t="str">
        <x:v>Context</x:v>
      </x:c>
      <x:c r="D184" s="7" t="str">
        <x:v>Reconcile the different distances described as distal in the paper.</x:v>
      </x:c>
      <x:c r="E184" s="7" t="str">
        <x:v>1. The distal stationary/bidirectional pool was described within approximately 150–200 µm of the tip
2. For tandem-reporter quantification, distal was defined within approximately 100 µm of the tip
3. These refer to different analyses and should retain their context.</x:v>
      </x:c>
      <x:c r="F184" s="9" t="n">
        <x:v>3</x:v>
      </x:c>
      <x:c r="G184" s="14"/>
      <x:c r="H184" s="14"/>
      <x:c r="I184" s="15"/>
      <x:c r="J184" s="15"/>
      <x:c r="K184" s="7" t="str">
        <x:v>Transport results; Image analysis</x:v>
      </x:c>
      <x:c r="L184" s="7" t="str">
        <x:v>Synthesis</x:v>
      </x:c>
      <x:c r="M184" s="7" t="str">
        <x:v>E014, E048</x:v>
      </x:c>
      <x:c r="N184" s="7" t="str">
        <x:v>XML</x:v>
      </x:c>
    </x:row>
    <x:row r="185" ht="54" customHeight="1">
      <x:c r="A185" s="7" t="str">
        <x:v>Q179</x:v>
      </x:c>
      <x:c r="B185" s="7" t="str">
        <x:v>Synthesis</x:v>
      </x:c>
      <x:c r="C185" s="7" t="str">
        <x:v>Context</x:v>
      </x:c>
      <x:c r="D185" s="7" t="str">
        <x:v>Reconcile the approximate and precise ages in the disease-model descriptions.</x:v>
      </x:c>
      <x:c r="E185" s="7" t="str">
        <x:v>1. Results use approximately 3 months at onset and 4 months at late disease
2. Methods specify 84 days and mean 125 days, respectively
3. These are different reporting precisions for the same stage comparison.</x:v>
      </x:c>
      <x:c r="F185" s="9" t="n">
        <x:v>3</x:v>
      </x:c>
      <x:c r="G185" s="14"/>
      <x:c r="H185" s="14"/>
      <x:c r="I185" s="15"/>
      <x:c r="J185" s="15"/>
      <x:c r="K185" s="7" t="str">
        <x:v>Disease-model results and methods</x:v>
      </x:c>
      <x:c r="L185" s="7" t="str">
        <x:v>Synthesis</x:v>
      </x:c>
      <x:c r="M185" s="7" t="str">
        <x:v>E026, E041, S003</x:v>
      </x:c>
      <x:c r="N185" s="7" t="str">
        <x:v>XML+supplement</x:v>
      </x:c>
    </x:row>
    <x:row r="186" ht="54" customHeight="1">
      <x:c r="A186" s="7" t="str">
        <x:v>Q180</x:v>
      </x:c>
      <x:c r="B186" s="7" t="str">
        <x:v>Synthesis</x:v>
      </x:c>
      <x:c r="C186" s="7" t="str">
        <x:v>Negation</x:v>
      </x:c>
      <x:c r="D186" s="7" t="str">
        <x:v>Why does unchanged transport in the fALS model not show that aggregation was absent or successfully cleared?</x:v>
      </x:c>
      <x:c r="E186" s="7" t="str">
        <x:v>1. SOD1-positive axonal aggregates were present despite robust transport
2. No increase in formation, density or flux was reported
3. The transport measures do not directly demonstrate successful aggregate clearance.</x:v>
      </x:c>
      <x:c r="F186" s="9" t="n">
        <x:v>3</x:v>
      </x:c>
      <x:c r="G186" s="14"/>
      <x:c r="H186" s="14"/>
      <x:c r="I186" s="15"/>
      <x:c r="J186" s="15"/>
      <x:c r="K186" s="7" t="str">
        <x:v>Disease-model results; Fig. S3</x:v>
      </x:c>
      <x:c r="L186" s="7" t="str">
        <x:v>Synthesis</x:v>
      </x:c>
      <x:c r="M186" s="7" t="str">
        <x:v>E026, S003</x:v>
      </x:c>
      <x:c r="N186" s="7" t="str">
        <x:v>XML+supplement</x:v>
      </x:c>
    </x:row>
    <x:row r="187" ht="54" customHeight="1">
      <x:c r="A187" s="7" t="str">
        <x:v>Q181</x:v>
      </x:c>
      <x:c r="B187" s="7" t="str">
        <x:v>Synthesis</x:v>
      </x:c>
      <x:c r="C187" s="7" t="str">
        <x:v>Provenance</x:v>
      </x:c>
      <x:c r="D187" s="7" t="str">
        <x:v>Which complementary evidence supports dynein-dependent transport beyond co-migration alone?</x:v>
      </x:c>
      <x:c r="E187" s="7" t="str">
        <x:v>1. Dynein/dynactin copurified with autophagosome-enriched fractions
2. CC1 disrupted dynein–dynactin function and arrested motility
3. The evidence combines association with a functional perturbation.</x:v>
      </x:c>
      <x:c r="F187" s="9" t="n">
        <x:v>3</x:v>
      </x:c>
      <x:c r="G187" s="14"/>
      <x:c r="H187" s="14"/>
      <x:c r="I187" s="15"/>
      <x:c r="J187" s="15"/>
      <x:c r="K187" s="7" t="str">
        <x:v>Fig. 2 C, E–F; motor results</x:v>
      </x:c>
      <x:c r="L187" s="7" t="str">
        <x:v>Synthesis</x:v>
      </x:c>
      <x:c r="M187" s="7" t="str">
        <x:v>E018, E019, E016</x:v>
      </x:c>
      <x:c r="N187" s="7" t="str">
        <x:v>XML</x:v>
      </x:c>
    </x:row>
    <x:row r="188" ht="68" customHeight="1">
      <x:c r="A188" s="7" t="str">
        <x:v>Q182</x:v>
      </x:c>
      <x:c r="B188" s="7" t="str">
        <x:v>Synthesis</x:v>
      </x:c>
      <x:c r="C188" s="7" t="str">
        <x:v>Uncertainty</x:v>
      </x:c>
      <x:c r="D188" s="7" t="str">
        <x:v>How should the graph distinguish evidence for fusion from the proposed causal trigger of transport?</x:v>
      </x:c>
      <x:c r="E188" s="7" t="str">
        <x:v>1. LAMP1 acquisition and LysoTracker positivity support maturation consistent with late-endosome/lysosome fusion
2. Fusion triggering robust retrograde movement is a proposed mechanism
3. The causal trigger must retain its uncertainty qualifier.</x:v>
      </x:c>
      <x:c r="F188" s="9" t="n">
        <x:v>3</x:v>
      </x:c>
      <x:c r="G188" s="14"/>
      <x:c r="H188" s="14"/>
      <x:c r="I188" s="15"/>
      <x:c r="J188" s="15"/>
      <x:c r="K188" s="7" t="str">
        <x:v>Maturation results and model</x:v>
      </x:c>
      <x:c r="L188" s="7" t="str">
        <x:v>Synthesis</x:v>
      </x:c>
      <x:c r="M188" s="7" t="str">
        <x:v>E028, E030, E036</x:v>
      </x:c>
      <x:c r="N188" s="7" t="str">
        <x:v>XML</x:v>
      </x:c>
    </x:row>
    <x:row r="189" ht="68" customHeight="1">
      <x:c r="A189" s="7" t="str">
        <x:v>Q183</x:v>
      </x:c>
      <x:c r="B189" s="7" t="str">
        <x:v>Synthesis</x:v>
      </x:c>
      <x:c r="C189" s="7" t="str">
        <x:v>Context</x:v>
      </x:c>
      <x:c r="D189" s="7" t="str">
        <x:v>What distinctions must be retained between the live imaging and biochemical motor experiments?</x:v>
      </x:c>
      <x:c r="E189" s="7" t="str">
        <x:v>1. Live imaging used cultured mouse DRG neurons
2. Autophagosome-enriched biochemical fractions came from mouse brain
3. Their evidence should not be collapsed into a claim that all motor associations were measured in the same purified DRG vesicles.</x:v>
      </x:c>
      <x:c r="F189" s="9" t="n">
        <x:v>3</x:v>
      </x:c>
      <x:c r="G189" s="14"/>
      <x:c r="H189" s="14"/>
      <x:c r="I189" s="15"/>
      <x:c r="J189" s="15"/>
      <x:c r="K189" s="7" t="str">
        <x:v>Results; Biochemistry</x:v>
      </x:c>
      <x:c r="L189" s="7" t="str">
        <x:v>Synthesis</x:v>
      </x:c>
      <x:c r="M189" s="7" t="str">
        <x:v>E009, E050, E019</x:v>
      </x:c>
      <x:c r="N189" s="7" t="str">
        <x:v>XML</x:v>
      </x:c>
    </x:row>
    <x:row r="190" ht="54" customHeight="1">
      <x:c r="A190" s="7" t="str">
        <x:v>Q184</x:v>
      </x:c>
      <x:c r="B190" s="7" t="str">
        <x:v>Synthesis</x:v>
      </x:c>
      <x:c r="C190" s="7" t="str">
        <x:v>Context</x:v>
      </x:c>
      <x:c r="D190" s="7" t="str">
        <x:v>What makes the 8,872 velocity events unsuitable as the count of independent animals?</x:v>
      </x:c>
      <x:c r="E190" s="7" t="str">
        <x:v>1. They are repeated instantaneous-velocity observations
2. They derive from 173 vesicles in 59 neurons
3. The animal count was 12 mice.</x:v>
      </x:c>
      <x:c r="F190" s="9" t="n">
        <x:v>3</x:v>
      </x:c>
      <x:c r="G190" s="14"/>
      <x:c r="H190" s="14"/>
      <x:c r="I190" s="15"/>
      <x:c r="J190" s="15"/>
      <x:c r="K190" s="7" t="str">
        <x:v>Fig. 2 A legend</x:v>
      </x:c>
      <x:c r="L190" s="7" t="str">
        <x:v>Synthesis</x:v>
      </x:c>
      <x:c r="M190" s="7" t="str">
        <x:v>E016</x:v>
      </x:c>
      <x:c r="N190" s="7" t="str">
        <x:v>XML</x:v>
      </x:c>
    </x:row>
    <x:row r="191" ht="68" customHeight="1">
      <x:c r="A191" s="7" t="str">
        <x:v>Q185</x:v>
      </x:c>
      <x:c r="B191" s="7" t="str">
        <x:v>Synthesis</x:v>
      </x:c>
      <x:c r="C191" s="7" t="str">
        <x:v>Uncertainty</x:v>
      </x:c>
      <x:c r="D191" s="7" t="str">
        <x:v>Which central findings were directly observed, and which aspects of the model remained proposed?</x:v>
      </x:c>
      <x:c r="E191" s="7" t="str">
        <x:v>1. Distal ring growth, biased retrograde movement, cargo-associated FRAP behavior and marker/acidification gradients were observed
2. Kinesin activity switching, fusion as a trigger and improved degradation/recycling near the soma remained interpretations or hypotheses.</x:v>
      </x:c>
      <x:c r="F191" s="9" t="n">
        <x:v>2</x:v>
      </x:c>
      <x:c r="G191" s="14"/>
      <x:c r="H191" s="14"/>
      <x:c r="I191" s="15"/>
      <x:c r="J191" s="15"/>
      <x:c r="K191" s="7" t="str">
        <x:v>Results and Fig. 5 G model</x:v>
      </x:c>
      <x:c r="L191" s="7" t="str">
        <x:v>Synthesis</x:v>
      </x:c>
      <x:c r="M191" s="7" t="str">
        <x:v>E012, E014, E023, E024, E028, E030, E033, E036</x:v>
      </x:c>
      <x:c r="N191" s="7" t="str">
        <x:v>XML</x:v>
      </x:c>
    </x:row>
    <x:row r="192" ht="54" customHeight="1">
      <x:c r="A192" s="7" t="str">
        <x:v>Q186</x:v>
      </x:c>
      <x:c r="B192" s="7" t="str">
        <x:v>Unanswerable</x:v>
      </x:c>
      <x:c r="C192" s="7" t="str">
        <x:v>Abstention</x:v>
      </x:c>
      <x:c r="D192" s="7" t="str">
        <x:v>What exact membrane source was experimentally established for the distal autophagosomes?</x:v>
      </x:c>
      <x:c r="E192" s="7" t="str">
        <x:v>1. No exact source was established
2. The paper lists possible plasma membrane, ER, mitochondrial and Golgi sources as unresolved alternatives.</x:v>
      </x:c>
      <x:c r="F192" s="9" t="n">
        <x:v>2</x:v>
      </x:c>
      <x:c r="G192" s="14"/>
      <x:c r="H192" s="14"/>
      <x:c r="I192" s="15"/>
      <x:c r="J192" s="15"/>
      <x:c r="K192" s="7" t="str">
        <x:v>Results, distal initiation, paragraph 4</x:v>
      </x:c>
      <x:c r="L192" s="7" t="str">
        <x:v>Not established</x:v>
      </x:c>
      <x:c r="M192" s="7" t="str">
        <x:v>E013</x:v>
      </x:c>
      <x:c r="N192" s="7" t="str">
        <x:v>XML</x:v>
      </x:c>
    </x:row>
    <x:row r="193" ht="54" customHeight="1">
      <x:c r="A193" s="7" t="str">
        <x:v>Q187</x:v>
      </x:c>
      <x:c r="B193" s="7" t="str">
        <x:v>Unanswerable</x:v>
      </x:c>
      <x:c r="C193" s="7" t="str">
        <x:v>Abstention</x:v>
      </x:c>
      <x:c r="D193" s="7" t="str">
        <x:v>Which specific kinase or signaling pathway was proven to release autophagosomes from the distal pool?</x:v>
      </x:c>
      <x:c r="E193" s="7" t="str">
        <x:v>1. None was identified or proven
2. Signaling or maturation changes were suggested as possibilities.</x:v>
      </x:c>
      <x:c r="F193" s="9" t="n">
        <x:v>2</x:v>
      </x:c>
      <x:c r="G193" s="14"/>
      <x:c r="H193" s="14"/>
      <x:c r="I193" s="15"/>
      <x:c r="J193" s="15"/>
      <x:c r="K193" s="7" t="str">
        <x:v>Transport discussion; maturation model</x:v>
      </x:c>
      <x:c r="L193" s="7" t="str">
        <x:v>Not established</x:v>
      </x:c>
      <x:c r="M193" s="7" t="str">
        <x:v>E017, E036</x:v>
      </x:c>
      <x:c r="N193" s="7" t="str">
        <x:v>XML</x:v>
      </x:c>
    </x:row>
    <x:row r="194" ht="54" customHeight="1">
      <x:c r="A194" s="7" t="str">
        <x:v>Q188</x:v>
      </x:c>
      <x:c r="B194" s="7" t="str">
        <x:v>Unanswerable</x:v>
      </x:c>
      <x:c r="C194" s="7" t="str">
        <x:v>Abstention</x:v>
      </x:c>
      <x:c r="D194" s="7" t="str">
        <x:v>What were the absolute luminal pH values of distal and proximal autophagosomes?</x:v>
      </x:c>
      <x:c r="E194" s="7" t="str">
        <x:v>1. Absolute pH values were not reported
2. The study used qualitative or relative acidification reporters, including LysoTracker and tandem fluorescent LC3.</x:v>
      </x:c>
      <x:c r="F194" s="9" t="n">
        <x:v>2</x:v>
      </x:c>
      <x:c r="G194" s="14"/>
      <x:c r="H194" s="14"/>
      <x:c r="I194" s="15"/>
      <x:c r="J194" s="15"/>
      <x:c r="K194" s="7" t="str">
        <x:v>Maturation results</x:v>
      </x:c>
      <x:c r="L194" s="7" t="str">
        <x:v>Not reported</x:v>
      </x:c>
      <x:c r="M194" s="7" t="str">
        <x:v>E030, E031, E033</x:v>
      </x:c>
      <x:c r="N194" s="7" t="str">
        <x:v>XML</x:v>
      </x:c>
    </x:row>
    <x:row r="195" ht="54" customHeight="1">
      <x:c r="A195" s="7" t="str">
        <x:v>Q189</x:v>
      </x:c>
      <x:c r="B195" s="7" t="str">
        <x:v>Unanswerable</x:v>
      </x:c>
      <x:c r="C195" s="7" t="str">
        <x:v>Abstention</x:v>
      </x:c>
      <x:c r="D195" s="7" t="str">
        <x:v>What exact molecular mechanism switches bound kinesin motors off and back on?</x:v>
      </x:c>
      <x:c r="E195" s="7" t="str">
        <x:v>1. The exact switching mechanism was not established
2. Regulation of associated motor activity was proposed.</x:v>
      </x:c>
      <x:c r="F195" s="9" t="n">
        <x:v>2</x:v>
      </x:c>
      <x:c r="G195" s="14"/>
      <x:c r="H195" s="14"/>
      <x:c r="I195" s="15"/>
      <x:c r="J195" s="15"/>
      <x:c r="K195" s="7" t="str">
        <x:v>Motor discussion; maturation model</x:v>
      </x:c>
      <x:c r="L195" s="7" t="str">
        <x:v>Not established</x:v>
      </x:c>
      <x:c r="M195" s="7" t="str">
        <x:v>E019, E036</x:v>
      </x:c>
      <x:c r="N195" s="7" t="str">
        <x:v>XML</x:v>
      </x:c>
    </x:row>
    <x:row r="196" ht="54" customHeight="1">
      <x:c r="A196" s="7" t="str">
        <x:v>Q190</x:v>
      </x:c>
      <x:c r="B196" s="7" t="str">
        <x:v>Unanswerable</x:v>
      </x:c>
      <x:c r="C196" s="7" t="str">
        <x:v>Abstention</x:v>
      </x:c>
      <x:c r="D196" s="7" t="str">
        <x:v>How many dynein and kinesin molecules were present on each autophagosome?</x:v>
      </x:c>
      <x:c r="E196" s="7" t="str">
        <x:v>1. Motor copy numbers per autophagosome were not reported
2. Co-migration and copurification do not provide those counts.</x:v>
      </x:c>
      <x:c r="F196" s="9" t="n">
        <x:v>2</x:v>
      </x:c>
      <x:c r="G196" s="14"/>
      <x:c r="H196" s="14"/>
      <x:c r="I196" s="15"/>
      <x:c r="J196" s="15"/>
      <x:c r="K196" s="7" t="str">
        <x:v>Fig. 2 and motor results</x:v>
      </x:c>
      <x:c r="L196" s="7" t="str">
        <x:v>Not reported</x:v>
      </x:c>
      <x:c r="M196" s="7" t="str">
        <x:v>E016, E018, E019</x:v>
      </x:c>
      <x:c r="N196" s="7" t="str">
        <x:v>XML</x:v>
      </x:c>
    </x:row>
    <x:row r="197" ht="54" customHeight="1">
      <x:c r="A197" s="7" t="str">
        <x:v>Q191</x:v>
      </x:c>
      <x:c r="B197" s="7" t="str">
        <x:v>Unanswerable</x:v>
      </x:c>
      <x:c r="C197" s="7" t="str">
        <x:v>Abstention</x:v>
      </x:c>
      <x:c r="D197" s="7" t="str">
        <x:v>What were the exact P values for every SOD1G93A versus control comparison in Fig. S3?</x:v>
      </x:c>
      <x:c r="E197" s="7" t="str">
        <x:v>1. Exact P values for those comparisons were not provided in the examined figure/legend
2. The authors report no significant changes; values must not be invented.</x:v>
      </x:c>
      <x:c r="F197" s="9" t="n">
        <x:v>2</x:v>
      </x:c>
      <x:c r="G197" s="14"/>
      <x:c r="H197" s="14"/>
      <x:c r="I197" s="15"/>
      <x:c r="J197" s="15"/>
      <x:c r="K197" s="7" t="str">
        <x:v>Disease-model results; Fig. S3</x:v>
      </x:c>
      <x:c r="L197" s="7" t="str">
        <x:v>Not reported</x:v>
      </x:c>
      <x:c r="M197" s="7" t="str">
        <x:v>E026, S003</x:v>
      </x:c>
      <x:c r="N197" s="7" t="str">
        <x:v>XML+supplement</x:v>
      </x:c>
    </x:row>
    <x:row r="198" ht="54" customHeight="1">
      <x:c r="A198" s="7" t="str">
        <x:v>Q192</x:v>
      </x:c>
      <x:c r="B198" s="7" t="str">
        <x:v>Unanswerable</x:v>
      </x:c>
      <x:c r="C198" s="7" t="str">
        <x:v>Abstention</x:v>
      </x:c>
      <x:c r="D198" s="7" t="str">
        <x:v>What was the measured half-life or biochemical degradation rate of engulfed SOD1G93A?</x:v>
      </x:c>
      <x:c r="E198" s="7" t="str">
        <x:v>1. No such half-life or cargo degradation rate was reported
2. The work demonstrated uptake and transport, not that kinetic measurement.</x:v>
      </x:c>
      <x:c r="F198" s="9" t="n">
        <x:v>2</x:v>
      </x:c>
      <x:c r="G198" s="14"/>
      <x:c r="H198" s="14"/>
      <x:c r="I198" s="15"/>
      <x:c r="J198" s="15"/>
      <x:c r="K198" s="7" t="str">
        <x:v>Cargo results; maturation model</x:v>
      </x:c>
      <x:c r="L198" s="7" t="str">
        <x:v>Not reported</x:v>
      </x:c>
      <x:c r="M198" s="7" t="str">
        <x:v>E024, E025, E036</x:v>
      </x:c>
      <x:c r="N198" s="7" t="str">
        <x:v>XML</x:v>
      </x:c>
    </x:row>
    <x:row r="199" ht="54" customHeight="1">
      <x:c r="A199" s="7" t="str">
        <x:v>Q193</x:v>
      </x:c>
      <x:c r="B199" s="7" t="str">
        <x:v>Unanswerable</x:v>
      </x:c>
      <x:c r="C199" s="7" t="str">
        <x:v>Abstention</x:v>
      </x:c>
      <x:c r="D199" s="7" t="str">
        <x:v>Did the paper demonstrate selective recognition of SOD1G93A aggregates by a named cargo receptor?</x:v>
      </x:c>
      <x:c r="E199" s="7" t="str">
        <x:v>1. No such receptor-dependent selective-recognition mechanism was demonstrated
2. Cytosolic SOD1G93A and mCherry uptake do not establish aggregate-selective recognition.</x:v>
      </x:c>
      <x:c r="F199" s="9" t="n">
        <x:v>2</x:v>
      </x:c>
      <x:c r="G199" s="14"/>
      <x:c r="H199" s="14"/>
      <x:c r="I199" s="15"/>
      <x:c r="J199" s="15"/>
      <x:c r="K199" s="7" t="str">
        <x:v>Cargo results</x:v>
      </x:c>
      <x:c r="L199" s="7" t="str">
        <x:v>Not established</x:v>
      </x:c>
      <x:c r="M199" s="7" t="str">
        <x:v>E024, E025</x:v>
      </x:c>
      <x:c r="N199" s="7" t="str">
        <x:v>XML</x:v>
      </x:c>
    </x:row>
    <x:row r="200" ht="54" customHeight="1">
      <x:c r="A200" s="7" t="str">
        <x:v>Q194</x:v>
      </x:c>
      <x:c r="B200" s="7" t="str">
        <x:v>Unanswerable</x:v>
      </x:c>
      <x:c r="C200" s="7" t="str">
        <x:v>Abstention</x:v>
      </x:c>
      <x:c r="D200" s="7" t="str">
        <x:v>Which quantitative results were obtained from human ALS motor neurons or ALS patients?</x:v>
      </x:c>
      <x:c r="E200" s="7" t="str">
        <x:v>1. No human patient or human motor-neuron experiment was reported
2. The disease-model imaging used mouse DRG neurons.</x:v>
      </x:c>
      <x:c r="F200" s="9" t="n">
        <x:v>2</x:v>
      </x:c>
      <x:c r="G200" s="14"/>
      <x:c r="H200" s="14"/>
      <x:c r="I200" s="15"/>
      <x:c r="J200" s="15"/>
      <x:c r="K200" s="7" t="str">
        <x:v>Disease-model results and methods</x:v>
      </x:c>
      <x:c r="L200" s="7" t="str">
        <x:v>Not reported</x:v>
      </x:c>
      <x:c r="M200" s="7" t="str">
        <x:v>E026, E041, E043</x:v>
      </x:c>
      <x:c r="N200" s="7" t="str">
        <x:v>XML</x:v>
      </x:c>
    </x:row>
    <x:row r="201" ht="54" customHeight="1">
      <x:c r="A201" s="7" t="str">
        <x:v>Q195</x:v>
      </x:c>
      <x:c r="B201" s="7" t="str">
        <x:v>Unanswerable</x:v>
      </x:c>
      <x:c r="C201" s="7" t="str">
        <x:v>Abstention</x:v>
      </x:c>
      <x:c r="D201" s="7" t="str">
        <x:v>What sex distribution was reported for the mice in each experiment?</x:v>
      </x:c>
      <x:c r="E201" s="7" t="str">
        <x:v>1. A sex distribution was not reported in the examined article and supplemental pages.</x:v>
      </x:c>
      <x:c r="F201" s="9" t="n">
        <x:v>1</x:v>
      </x:c>
      <x:c r="G201" s="14"/>
      <x:c r="H201" s="14"/>
      <x:c r="I201" s="15"/>
      <x:c r="J201" s="15"/>
      <x:c r="K201" s="7" t="str">
        <x:v>Reagents and methods; Fig. S3</x:v>
      </x:c>
      <x:c r="L201" s="7" t="str">
        <x:v>Not reported</x:v>
      </x:c>
      <x:c r="M201" s="7" t="str">
        <x:v>E039, E041, E043, E050, S003</x:v>
      </x:c>
      <x:c r="N201" s="7" t="str">
        <x:v>XML+supplement</x:v>
      </x:c>
    </x:row>
    <x:row r="202" ht="54" customHeight="1">
      <x:c r="A202" s="7" t="str">
        <x:v>Q196</x:v>
      </x:c>
      <x:c r="B202" s="7" t="str">
        <x:v>Unanswerable</x:v>
      </x:c>
      <x:c r="C202" s="7" t="str">
        <x:v>Abstention</x:v>
      </x:c>
      <x:c r="D202" s="7" t="str">
        <x:v>What randomization or blinded-analysis procedure was reported for image scoring?</x:v>
      </x:c>
      <x:c r="E202" s="7" t="str">
        <x:v>1. A randomization or blinding procedure was not reported in the examined article and supplemental pages.</x:v>
      </x:c>
      <x:c r="F202" s="9" t="n">
        <x:v>1</x:v>
      </x:c>
      <x:c r="G202" s="14"/>
      <x:c r="H202" s="14"/>
      <x:c r="I202" s="15"/>
      <x:c r="J202" s="15"/>
      <x:c r="K202" s="7" t="str">
        <x:v>Live-cell imaging; Image analysis; Fig. S3</x:v>
      </x:c>
      <x:c r="L202" s="7" t="str">
        <x:v>Not reported</x:v>
      </x:c>
      <x:c r="M202" s="7" t="str">
        <x:v>E044, E045, E047, E048, S003</x:v>
      </x:c>
      <x:c r="N202" s="7" t="str">
        <x:v>XML+supplement</x:v>
      </x:c>
    </x:row>
    <x:row r="203" ht="54" customHeight="1">
      <x:c r="A203" s="7" t="str">
        <x:v>Q197</x:v>
      </x:c>
      <x:c r="B203" s="7" t="str">
        <x:v>Unanswerable</x:v>
      </x:c>
      <x:c r="C203" s="7" t="str">
        <x:v>Abstention</x:v>
      </x:c>
      <x:c r="D203" s="7" t="str">
        <x:v>What drug or genetic intervention rescued disease phenotypes by increasing autophagic flux in this study?</x:v>
      </x:c>
      <x:c r="E203" s="7" t="str">
        <x:v>1. No rescue intervention with that outcome was reported
2. The SOD1G93A comparison found no increased flux despite aggregation.</x:v>
      </x:c>
      <x:c r="F203" s="9" t="n">
        <x:v>2</x:v>
      </x:c>
      <x:c r="G203" s="14"/>
      <x:c r="H203" s="14"/>
      <x:c r="I203" s="15"/>
      <x:c r="J203" s="15"/>
      <x:c r="K203" s="7" t="str">
        <x:v>Disease-model results; Fig. S3</x:v>
      </x:c>
      <x:c r="L203" s="7" t="str">
        <x:v>Not reported</x:v>
      </x:c>
      <x:c r="M203" s="7" t="str">
        <x:v>E026, S003</x:v>
      </x:c>
      <x:c r="N203" s="7" t="str">
        <x:v>XML+supplement</x:v>
      </x:c>
    </x:row>
    <x:row r="204" ht="54" customHeight="1">
      <x:c r="A204" s="7" t="str">
        <x:v>Q198</x:v>
      </x:c>
      <x:c r="B204" s="7" t="str">
        <x:v>Unanswerable</x:v>
      </x:c>
      <x:c r="C204" s="7" t="str">
        <x:v>Abstention</x:v>
      </x:c>
      <x:c r="D204" s="7" t="str">
        <x:v>Was autophagosome biogenesis in the soma experimentally ruled out?</x:v>
      </x:c>
      <x:c r="E204" s="7" t="str">
        <x:v>1. No
2. Somatic autofluorescence prevented the authors from excluding it.</x:v>
      </x:c>
      <x:c r="F204" s="9" t="n">
        <x:v>2</x:v>
      </x:c>
      <x:c r="G204" s="14"/>
      <x:c r="H204" s="14"/>
      <x:c r="I204" s="15"/>
      <x:c r="J204" s="15"/>
      <x:c r="K204" s="7" t="str">
        <x:v>Results, distal initiation, paragraph 4</x:v>
      </x:c>
      <x:c r="L204" s="7" t="str">
        <x:v>Not established</x:v>
      </x:c>
      <x:c r="M204" s="7" t="str">
        <x:v>E013</x:v>
      </x:c>
      <x:c r="N204" s="7" t="str">
        <x:v>XML</x:v>
      </x:c>
    </x:row>
    <x:row r="205" ht="54" customHeight="1">
      <x:c r="A205" s="7" t="str">
        <x:v>Q199</x:v>
      </x:c>
      <x:c r="B205" s="7" t="str">
        <x:v>Unanswerable</x:v>
      </x:c>
      <x:c r="C205" s="7" t="str">
        <x:v>Abstention</x:v>
      </x:c>
      <x:c r="D205" s="7" t="str">
        <x:v>What exact numerical raw values underlie every bar in Fig. S3?</x:v>
      </x:c>
      <x:c r="E205" s="7" t="str">
        <x:v>1. An exact raw numerical table was not supplied in the examined material
2. The plots, sample-size ranges and qualitative comparisons do not justify inventing exact values.</x:v>
      </x:c>
      <x:c r="F205" s="9" t="n">
        <x:v>2</x:v>
      </x:c>
      <x:c r="G205" s="14"/>
      <x:c r="H205" s="14"/>
      <x:c r="I205" s="15"/>
      <x:c r="J205" s="15"/>
      <x:c r="K205" s="7" t="str">
        <x:v>Fig. S3</x:v>
      </x:c>
      <x:c r="L205" s="7" t="str">
        <x:v>Not reported</x:v>
      </x:c>
      <x:c r="M205" s="7" t="str">
        <x:v>S003</x:v>
      </x:c>
      <x:c r="N205" s="7" t="str">
        <x:v>XML+supplement</x:v>
      </x:c>
    </x:row>
    <x:row r="206" ht="54" customHeight="1">
      <x:c r="A206" s="7" t="str">
        <x:v>Q200</x:v>
      </x:c>
      <x:c r="B206" s="7" t="str">
        <x:v>Unanswerable</x:v>
      </x:c>
      <x:c r="C206" s="7" t="str">
        <x:v>Abstention</x:v>
      </x:c>
      <x:c r="D206" s="7" t="str">
        <x:v>Did this study prove that acidification increases cargo degradation efficiency by a specified percentage?</x:v>
      </x:c>
      <x:c r="E206" s="7" t="str">
        <x:v>1. No direct quantitative improvement was established
2. More efficient degradation in the acidified compartment was proposed, without such a percentage.</x:v>
      </x:c>
      <x:c r="F206" s="9" t="n">
        <x:v>2</x:v>
      </x:c>
      <x:c r="G206" s="14"/>
      <x:c r="H206" s="14"/>
      <x:c r="I206" s="15"/>
      <x:c r="J206" s="15"/>
      <x:c r="K206" s="7" t="str">
        <x:v>Results, maturation model, final paragraph</x:v>
      </x:c>
      <x:c r="L206" s="7" t="str">
        <x:v>Not established</x:v>
      </x:c>
      <x:c r="M206" s="7" t="str">
        <x:v>E036</x:v>
      </x:c>
      <x:c r="N206" s="7" t="str">
        <x:v>XML</x:v>
      </x:c>
    </x:row>
  </x:sheetData>
  <x:conditionalFormatting sqref="G7:G206">
    <x:cfRule type="expression" dxfId="0" priority="1">
      <x:formula>AND(ISNUMBER(G7),OR(G7&lt;0,G7&gt;F7))</x:formula>
    </x:cfRule>
  </x:conditionalFormatting>
  <x:conditionalFormatting sqref="H7:H206">
    <x:cfRule type="expression" dxfId="1" priority="2">
      <x:formula>AND(ISNUMBER(H7),OR(H7&lt;0,H7&gt;1))</x:formula>
    </x:cfRule>
  </x:conditionalFormatting>
  <x:dataValidations count="201">
    <x:dataValidation type="whole" operator="between" sqref="G7">
      <x:formula1>0</x:formula1>
      <x:formula2>1</x:formula2>
    </x:dataValidation>
    <x:dataValidation type="whole" operator="between" sqref="G8">
      <x:formula1>0</x:formula1>
      <x:formula2>3</x:formula2>
    </x:dataValidation>
    <x:dataValidation type="whole" operator="between" sqref="G9">
      <x:formula1>0</x:formula1>
      <x:formula2>3</x:formula2>
    </x:dataValidation>
    <x:dataValidation type="whole" operator="between" sqref="G10">
      <x:formula1>0</x:formula1>
      <x:formula2>3</x:formula2>
    </x:dataValidation>
    <x:dataValidation type="whole" operator="between" sqref="G11">
      <x:formula1>0</x:formula1>
      <x:formula2>3</x:formula2>
    </x:dataValidation>
    <x:dataValidation type="whole" operator="between" sqref="G12">
      <x:formula1>0</x:formula1>
      <x:formula2>2</x:formula2>
    </x:dataValidation>
    <x:dataValidation type="whole" operator="between" sqref="G13">
      <x:formula1>0</x:formula1>
      <x:formula2>1</x:formula2>
    </x:dataValidation>
    <x:dataValidation type="whole" operator="between" sqref="G14">
      <x:formula1>0</x:formula1>
      <x:formula2>2</x:formula2>
    </x:dataValidation>
    <x:dataValidation type="whole" operator="between" sqref="G15">
      <x:formula1>0</x:formula1>
      <x:formula2>1</x:formula2>
    </x:dataValidation>
    <x:dataValidation type="whole" operator="between" sqref="G16">
      <x:formula1>0</x:formula1>
      <x:formula2>2</x:formula2>
    </x:dataValidation>
    <x:dataValidation type="whole" operator="between" sqref="G17">
      <x:formula1>0</x:formula1>
      <x:formula2>2</x:formula2>
    </x:dataValidation>
    <x:dataValidation type="whole" operator="between" sqref="G18">
      <x:formula1>0</x:formula1>
      <x:formula2>2</x:formula2>
    </x:dataValidation>
    <x:dataValidation type="whole" operator="between" sqref="G19">
      <x:formula1>0</x:formula1>
      <x:formula2>2</x:formula2>
    </x:dataValidation>
    <x:dataValidation type="whole" operator="between" sqref="G20">
      <x:formula1>0</x:formula1>
      <x:formula2>2</x:formula2>
    </x:dataValidation>
    <x:dataValidation type="whole" operator="between" sqref="G21">
      <x:formula1>0</x:formula1>
      <x:formula2>3</x:formula2>
    </x:dataValidation>
    <x:dataValidation type="whole" operator="between" sqref="G22">
      <x:formula1>0</x:formula1>
      <x:formula2>2</x:formula2>
    </x:dataValidation>
    <x:dataValidation type="whole" operator="between" sqref="G23">
      <x:formula1>0</x:formula1>
      <x:formula2>2</x:formula2>
    </x:dataValidation>
    <x:dataValidation type="whole" operator="between" sqref="G24">
      <x:formula1>0</x:formula1>
      <x:formula2>2</x:formula2>
    </x:dataValidation>
    <x:dataValidation type="whole" operator="between" sqref="G25">
      <x:formula1>0</x:formula1>
      <x:formula2>4</x:formula2>
    </x:dataValidation>
    <x:dataValidation type="whole" operator="between" sqref="G26">
      <x:formula1>0</x:formula1>
      <x:formula2>2</x:formula2>
    </x:dataValidation>
    <x:dataValidation type="whole" operator="between" sqref="G27">
      <x:formula1>0</x:formula1>
      <x:formula2>2</x:formula2>
    </x:dataValidation>
    <x:dataValidation type="whole" operator="between" sqref="G28">
      <x:formula1>0</x:formula1>
      <x:formula2>2</x:formula2>
    </x:dataValidation>
    <x:dataValidation type="whole" operator="between" sqref="G29">
      <x:formula1>0</x:formula1>
      <x:formula2>2</x:formula2>
    </x:dataValidation>
    <x:dataValidation type="whole" operator="between" sqref="G30">
      <x:formula1>0</x:formula1>
      <x:formula2>1</x:formula2>
    </x:dataValidation>
    <x:dataValidation type="whole" operator="between" sqref="G31">
      <x:formula1>0</x:formula1>
      <x:formula2>2</x:formula2>
    </x:dataValidation>
    <x:dataValidation type="whole" operator="between" sqref="G32">
      <x:formula1>0</x:formula1>
      <x:formula2>2</x:formula2>
    </x:dataValidation>
    <x:dataValidation type="whole" operator="between" sqref="G33">
      <x:formula1>0</x:formula1>
      <x:formula2>1</x:formula2>
    </x:dataValidation>
    <x:dataValidation type="whole" operator="between" sqref="G34">
      <x:formula1>0</x:formula1>
      <x:formula2>1</x:formula2>
    </x:dataValidation>
    <x:dataValidation type="whole" operator="between" sqref="G35">
      <x:formula1>0</x:formula1>
      <x:formula2>2</x:formula2>
    </x:dataValidation>
    <x:dataValidation type="whole" operator="between" sqref="G36">
      <x:formula1>0</x:formula1>
      <x:formula2>2</x:formula2>
    </x:dataValidation>
    <x:dataValidation type="whole" operator="between" sqref="G37">
      <x:formula1>0</x:formula1>
      <x:formula2>2</x:formula2>
    </x:dataValidation>
    <x:dataValidation type="whole" operator="between" sqref="G38">
      <x:formula1>0</x:formula1>
      <x:formula2>2</x:formula2>
    </x:dataValidation>
    <x:dataValidation type="whole" operator="between" sqref="G39">
      <x:formula1>0</x:formula1>
      <x:formula2>2</x:formula2>
    </x:dataValidation>
    <x:dataValidation type="whole" operator="between" sqref="G40">
      <x:formula1>0</x:formula1>
      <x:formula2>2</x:formula2>
    </x:dataValidation>
    <x:dataValidation type="whole" operator="between" sqref="G41">
      <x:formula1>0</x:formula1>
      <x:formula2>2</x:formula2>
    </x:dataValidation>
    <x:dataValidation type="whole" operator="between" sqref="G42">
      <x:formula1>0</x:formula1>
      <x:formula2>2</x:formula2>
    </x:dataValidation>
    <x:dataValidation type="whole" operator="between" sqref="G43">
      <x:formula1>0</x:formula1>
      <x:formula2>2</x:formula2>
    </x:dataValidation>
    <x:dataValidation type="whole" operator="between" sqref="G44">
      <x:formula1>0</x:formula1>
      <x:formula2>2</x:formula2>
    </x:dataValidation>
    <x:dataValidation type="whole" operator="between" sqref="G45">
      <x:formula1>0</x:formula1>
      <x:formula2>1</x:formula2>
    </x:dataValidation>
    <x:dataValidation type="whole" operator="between" sqref="G46">
      <x:formula1>0</x:formula1>
      <x:formula2>2</x:formula2>
    </x:dataValidation>
    <x:dataValidation type="whole" operator="between" sqref="G47">
      <x:formula1>0</x:formula1>
      <x:formula2>1</x:formula2>
    </x:dataValidation>
    <x:dataValidation type="whole" operator="between" sqref="G48">
      <x:formula1>0</x:formula1>
      <x:formula2>1</x:formula2>
    </x:dataValidation>
    <x:dataValidation type="whole" operator="between" sqref="G49">
      <x:formula1>0</x:formula1>
      <x:formula2>2</x:formula2>
    </x:dataValidation>
    <x:dataValidation type="whole" operator="between" sqref="G50">
      <x:formula1>0</x:formula1>
      <x:formula2>1</x:formula2>
    </x:dataValidation>
    <x:dataValidation type="whole" operator="between" sqref="G51">
      <x:formula1>0</x:formula1>
      <x:formula2>2</x:formula2>
    </x:dataValidation>
    <x:dataValidation type="whole" operator="between" sqref="G52">
      <x:formula1>0</x:formula1>
      <x:formula2>2</x:formula2>
    </x:dataValidation>
    <x:dataValidation type="whole" operator="between" sqref="G53">
      <x:formula1>0</x:formula1>
      <x:formula2>1</x:formula2>
    </x:dataValidation>
    <x:dataValidation type="whole" operator="between" sqref="G54">
      <x:formula1>0</x:formula1>
      <x:formula2>2</x:formula2>
    </x:dataValidation>
    <x:dataValidation type="whole" operator="between" sqref="G55">
      <x:formula1>0</x:formula1>
      <x:formula2>2</x:formula2>
    </x:dataValidation>
    <x:dataValidation type="whole" operator="between" sqref="G56">
      <x:formula1>0</x:formula1>
      <x:formula2>2</x:formula2>
    </x:dataValidation>
    <x:dataValidation type="whole" operator="between" sqref="G57">
      <x:formula1>0</x:formula1>
      <x:formula2>2</x:formula2>
    </x:dataValidation>
    <x:dataValidation type="whole" operator="between" sqref="G58">
      <x:formula1>0</x:formula1>
      <x:formula2>2</x:formula2>
    </x:dataValidation>
    <x:dataValidation type="whole" operator="between" sqref="G59">
      <x:formula1>0</x:formula1>
      <x:formula2>2</x:formula2>
    </x:dataValidation>
    <x:dataValidation type="whole" operator="between" sqref="G60">
      <x:formula1>0</x:formula1>
      <x:formula2>2</x:formula2>
    </x:dataValidation>
    <x:dataValidation type="whole" operator="between" sqref="G61">
      <x:formula1>0</x:formula1>
      <x:formula2>2</x:formula2>
    </x:dataValidation>
    <x:dataValidation type="whole" operator="between" sqref="G62">
      <x:formula1>0</x:formula1>
      <x:formula2>2</x:formula2>
    </x:dataValidation>
    <x:dataValidation type="whole" operator="between" sqref="G63">
      <x:formula1>0</x:formula1>
      <x:formula2>2</x:formula2>
    </x:dataValidation>
    <x:dataValidation type="whole" operator="between" sqref="G64">
      <x:formula1>0</x:formula1>
      <x:formula2>2</x:formula2>
    </x:dataValidation>
    <x:dataValidation type="whole" operator="between" sqref="G65">
      <x:formula1>0</x:formula1>
      <x:formula2>2</x:formula2>
    </x:dataValidation>
    <x:dataValidation type="whole" operator="between" sqref="G66">
      <x:formula1>0</x:formula1>
      <x:formula2>2</x:formula2>
    </x:dataValidation>
    <x:dataValidation type="whole" operator="between" sqref="G67">
      <x:formula1>0</x:formula1>
      <x:formula2>2</x:formula2>
    </x:dataValidation>
    <x:dataValidation type="whole" operator="between" sqref="G68">
      <x:formula1>0</x:formula1>
      <x:formula2>2</x:formula2>
    </x:dataValidation>
    <x:dataValidation type="whole" operator="between" sqref="G69">
      <x:formula1>0</x:formula1>
      <x:formula2>2</x:formula2>
    </x:dataValidation>
    <x:dataValidation type="whole" operator="between" sqref="G70">
      <x:formula1>0</x:formula1>
      <x:formula2>2</x:formula2>
    </x:dataValidation>
    <x:dataValidation type="whole" operator="between" sqref="G71">
      <x:formula1>0</x:formula1>
      <x:formula2>2</x:formula2>
    </x:dataValidation>
    <x:dataValidation type="whole" operator="between" sqref="G72">
      <x:formula1>0</x:formula1>
      <x:formula2>2</x:formula2>
    </x:dataValidation>
    <x:dataValidation type="whole" operator="between" sqref="G73">
      <x:formula1>0</x:formula1>
      <x:formula2>2</x:formula2>
    </x:dataValidation>
    <x:dataValidation type="whole" operator="between" sqref="G74">
      <x:formula1>0</x:formula1>
      <x:formula2>2</x:formula2>
    </x:dataValidation>
    <x:dataValidation type="whole" operator="between" sqref="G75">
      <x:formula1>0</x:formula1>
      <x:formula2>2</x:formula2>
    </x:dataValidation>
    <x:dataValidation type="whole" operator="between" sqref="G76">
      <x:formula1>0</x:formula1>
      <x:formula2>2</x:formula2>
    </x:dataValidation>
    <x:dataValidation type="whole" operator="between" sqref="G77">
      <x:formula1>0</x:formula1>
      <x:formula2>2</x:formula2>
    </x:dataValidation>
    <x:dataValidation type="whole" operator="between" sqref="G78">
      <x:formula1>0</x:formula1>
      <x:formula2>1</x:formula2>
    </x:dataValidation>
    <x:dataValidation type="whole" operator="between" sqref="G79">
      <x:formula1>0</x:formula1>
      <x:formula2>2</x:formula2>
    </x:dataValidation>
    <x:dataValidation type="whole" operator="between" sqref="G80">
      <x:formula1>0</x:formula1>
      <x:formula2>1</x:formula2>
    </x:dataValidation>
    <x:dataValidation type="whole" operator="between" sqref="G81">
      <x:formula1>0</x:formula1>
      <x:formula2>1</x:formula2>
    </x:dataValidation>
    <x:dataValidation type="whole" operator="between" sqref="G82">
      <x:formula1>0</x:formula1>
      <x:formula2>2</x:formula2>
    </x:dataValidation>
    <x:dataValidation type="whole" operator="between" sqref="G83">
      <x:formula1>0</x:formula1>
      <x:formula2>1</x:formula2>
    </x:dataValidation>
    <x:dataValidation type="whole" operator="between" sqref="G84">
      <x:formula1>0</x:formula1>
      <x:formula2>2</x:formula2>
    </x:dataValidation>
    <x:dataValidation type="whole" operator="between" sqref="G85">
      <x:formula1>0</x:formula1>
      <x:formula2>2</x:formula2>
    </x:dataValidation>
    <x:dataValidation type="whole" operator="between" sqref="G86">
      <x:formula1>0</x:formula1>
      <x:formula2>2</x:formula2>
    </x:dataValidation>
    <x:dataValidation type="whole" operator="between" sqref="G87">
      <x:formula1>0</x:formula1>
      <x:formula2>2</x:formula2>
    </x:dataValidation>
    <x:dataValidation type="whole" operator="between" sqref="G88">
      <x:formula1>0</x:formula1>
      <x:formula2>1</x:formula2>
    </x:dataValidation>
    <x:dataValidation type="whole" operator="between" sqref="G89">
      <x:formula1>0</x:formula1>
      <x:formula2>2</x:formula2>
    </x:dataValidation>
    <x:dataValidation type="whole" operator="between" sqref="G90">
      <x:formula1>0</x:formula1>
      <x:formula2>2</x:formula2>
    </x:dataValidation>
    <x:dataValidation type="whole" operator="between" sqref="G91">
      <x:formula1>0</x:formula1>
      <x:formula2>2</x:formula2>
    </x:dataValidation>
    <x:dataValidation type="whole" operator="between" sqref="G92">
      <x:formula1>0</x:formula1>
      <x:formula2>2</x:formula2>
    </x:dataValidation>
    <x:dataValidation type="whole" operator="between" sqref="G93">
      <x:formula1>0</x:formula1>
      <x:formula2>2</x:formula2>
    </x:dataValidation>
    <x:dataValidation type="whole" operator="between" sqref="G94">
      <x:formula1>0</x:formula1>
      <x:formula2>1</x:formula2>
    </x:dataValidation>
    <x:dataValidation type="whole" operator="between" sqref="G95">
      <x:formula1>0</x:formula1>
      <x:formula2>2</x:formula2>
    </x:dataValidation>
    <x:dataValidation type="whole" operator="between" sqref="G96">
      <x:formula1>0</x:formula1>
      <x:formula2>2</x:formula2>
    </x:dataValidation>
    <x:dataValidation type="whole" operator="between" sqref="G97">
      <x:formula1>0</x:formula1>
      <x:formula2>2</x:formula2>
    </x:dataValidation>
    <x:dataValidation type="whole" operator="between" sqref="G98">
      <x:formula1>0</x:formula1>
      <x:formula2>1</x:formula2>
    </x:dataValidation>
    <x:dataValidation type="whole" operator="between" sqref="G99">
      <x:formula1>0</x:formula1>
      <x:formula2>2</x:formula2>
    </x:dataValidation>
    <x:dataValidation type="whole" operator="between" sqref="G100">
      <x:formula1>0</x:formula1>
      <x:formula2>2</x:formula2>
    </x:dataValidation>
    <x:dataValidation type="whole" operator="between" sqref="G101">
      <x:formula1>0</x:formula1>
      <x:formula2>2</x:formula2>
    </x:dataValidation>
    <x:dataValidation type="whole" operator="between" sqref="G102">
      <x:formula1>0</x:formula1>
      <x:formula2>2</x:formula2>
    </x:dataValidation>
    <x:dataValidation type="whole" operator="between" sqref="G103">
      <x:formula1>0</x:formula1>
      <x:formula2>2</x:formula2>
    </x:dataValidation>
    <x:dataValidation type="whole" operator="between" sqref="G104">
      <x:formula1>0</x:formula1>
      <x:formula2>2</x:formula2>
    </x:dataValidation>
    <x:dataValidation type="whole" operator="between" sqref="G105">
      <x:formula1>0</x:formula1>
      <x:formula2>2</x:formula2>
    </x:dataValidation>
    <x:dataValidation type="whole" operator="between" sqref="G106">
      <x:formula1>0</x:formula1>
      <x:formula2>2</x:formula2>
    </x:dataValidation>
    <x:dataValidation type="whole" operator="between" sqref="G107">
      <x:formula1>0</x:formula1>
      <x:formula2>2</x:formula2>
    </x:dataValidation>
    <x:dataValidation type="whole" operator="between" sqref="G108">
      <x:formula1>0</x:formula1>
      <x:formula2>2</x:formula2>
    </x:dataValidation>
    <x:dataValidation type="whole" operator="between" sqref="G109">
      <x:formula1>0</x:formula1>
      <x:formula2>1</x:formula2>
    </x:dataValidation>
    <x:dataValidation type="whole" operator="between" sqref="G110">
      <x:formula1>0</x:formula1>
      <x:formula2>2</x:formula2>
    </x:dataValidation>
    <x:dataValidation type="whole" operator="between" sqref="G111">
      <x:formula1>0</x:formula1>
      <x:formula2>1</x:formula2>
    </x:dataValidation>
    <x:dataValidation type="whole" operator="between" sqref="G112">
      <x:formula1>0</x:formula1>
      <x:formula2>2</x:formula2>
    </x:dataValidation>
    <x:dataValidation type="whole" operator="between" sqref="G113">
      <x:formula1>0</x:formula1>
      <x:formula2>2</x:formula2>
    </x:dataValidation>
    <x:dataValidation type="whole" operator="between" sqref="G114">
      <x:formula1>0</x:formula1>
      <x:formula2>1</x:formula2>
    </x:dataValidation>
    <x:dataValidation type="whole" operator="between" sqref="G115">
      <x:formula1>0</x:formula1>
      <x:formula2>2</x:formula2>
    </x:dataValidation>
    <x:dataValidation type="whole" operator="between" sqref="G116">
      <x:formula1>0</x:formula1>
      <x:formula2>1</x:formula2>
    </x:dataValidation>
    <x:dataValidation type="whole" operator="between" sqref="G117">
      <x:formula1>0</x:formula1>
      <x:formula2>2</x:formula2>
    </x:dataValidation>
    <x:dataValidation type="whole" operator="between" sqref="G118">
      <x:formula1>0</x:formula1>
      <x:formula2>2</x:formula2>
    </x:dataValidation>
    <x:dataValidation type="whole" operator="between" sqref="G119">
      <x:formula1>0</x:formula1>
      <x:formula2>2</x:formula2>
    </x:dataValidation>
    <x:dataValidation type="whole" operator="between" sqref="G120">
      <x:formula1>0</x:formula1>
      <x:formula2>2</x:formula2>
    </x:dataValidation>
    <x:dataValidation type="whole" operator="between" sqref="G121">
      <x:formula1>0</x:formula1>
      <x:formula2>2</x:formula2>
    </x:dataValidation>
    <x:dataValidation type="whole" operator="between" sqref="G122">
      <x:formula1>0</x:formula1>
      <x:formula2>3</x:formula2>
    </x:dataValidation>
    <x:dataValidation type="whole" operator="between" sqref="G123">
      <x:formula1>0</x:formula1>
      <x:formula2>2</x:formula2>
    </x:dataValidation>
    <x:dataValidation type="whole" operator="between" sqref="G124">
      <x:formula1>0</x:formula1>
      <x:formula2>2</x:formula2>
    </x:dataValidation>
    <x:dataValidation type="whole" operator="between" sqref="G125">
      <x:formula1>0</x:formula1>
      <x:formula2>2</x:formula2>
    </x:dataValidation>
    <x:dataValidation type="whole" operator="between" sqref="G126">
      <x:formula1>0</x:formula1>
      <x:formula2>2</x:formula2>
    </x:dataValidation>
    <x:dataValidation type="whole" operator="between" sqref="G127">
      <x:formula1>0</x:formula1>
      <x:formula2>2</x:formula2>
    </x:dataValidation>
    <x:dataValidation type="whole" operator="between" sqref="G128">
      <x:formula1>0</x:formula1>
      <x:formula2>2</x:formula2>
    </x:dataValidation>
    <x:dataValidation type="whole" operator="between" sqref="G129">
      <x:formula1>0</x:formula1>
      <x:formula2>2</x:formula2>
    </x:dataValidation>
    <x:dataValidation type="whole" operator="between" sqref="G130">
      <x:formula1>0</x:formula1>
      <x:formula2>3</x:formula2>
    </x:dataValidation>
    <x:dataValidation type="whole" operator="between" sqref="G131">
      <x:formula1>0</x:formula1>
      <x:formula2>3</x:formula2>
    </x:dataValidation>
    <x:dataValidation type="whole" operator="between" sqref="G132">
      <x:formula1>0</x:formula1>
      <x:formula2>2</x:formula2>
    </x:dataValidation>
    <x:dataValidation type="whole" operator="between" sqref="G133">
      <x:formula1>0</x:formula1>
      <x:formula2>2</x:formula2>
    </x:dataValidation>
    <x:dataValidation type="whole" operator="between" sqref="G134">
      <x:formula1>0</x:formula1>
      <x:formula2>3</x:formula2>
    </x:dataValidation>
    <x:dataValidation type="whole" operator="between" sqref="G135">
      <x:formula1>0</x:formula1>
      <x:formula2>3</x:formula2>
    </x:dataValidation>
    <x:dataValidation type="whole" operator="between" sqref="G136">
      <x:formula1>0</x:formula1>
      <x:formula2>2</x:formula2>
    </x:dataValidation>
    <x:dataValidation type="whole" operator="between" sqref="G137">
      <x:formula1>0</x:formula1>
      <x:formula2>2</x:formula2>
    </x:dataValidation>
    <x:dataValidation type="whole" operator="between" sqref="G138">
      <x:formula1>0</x:formula1>
      <x:formula2>2</x:formula2>
    </x:dataValidation>
    <x:dataValidation type="whole" operator="between" sqref="G139">
      <x:formula1>0</x:formula1>
      <x:formula2>3</x:formula2>
    </x:dataValidation>
    <x:dataValidation type="whole" operator="between" sqref="G140">
      <x:formula1>0</x:formula1>
      <x:formula2>2</x:formula2>
    </x:dataValidation>
    <x:dataValidation type="whole" operator="between" sqref="G141">
      <x:formula1>0</x:formula1>
      <x:formula2>2</x:formula2>
    </x:dataValidation>
    <x:dataValidation type="whole" operator="between" sqref="G142">
      <x:formula1>0</x:formula1>
      <x:formula2>3</x:formula2>
    </x:dataValidation>
    <x:dataValidation type="whole" operator="between" sqref="G143">
      <x:formula1>0</x:formula1>
      <x:formula2>2</x:formula2>
    </x:dataValidation>
    <x:dataValidation type="whole" operator="between" sqref="G144">
      <x:formula1>0</x:formula1>
      <x:formula2>2</x:formula2>
    </x:dataValidation>
    <x:dataValidation type="whole" operator="between" sqref="G145">
      <x:formula1>0</x:formula1>
      <x:formula2>2</x:formula2>
    </x:dataValidation>
    <x:dataValidation type="whole" operator="between" sqref="G146">
      <x:formula1>0</x:formula1>
      <x:formula2>2</x:formula2>
    </x:dataValidation>
    <x:dataValidation type="whole" operator="between" sqref="G147">
      <x:formula1>0</x:formula1>
      <x:formula2>2</x:formula2>
    </x:dataValidation>
    <x:dataValidation type="whole" operator="between" sqref="G148">
      <x:formula1>0</x:formula1>
      <x:formula2>2</x:formula2>
    </x:dataValidation>
    <x:dataValidation type="whole" operator="between" sqref="G149">
      <x:formula1>0</x:formula1>
      <x:formula2>2</x:formula2>
    </x:dataValidation>
    <x:dataValidation type="whole" operator="between" sqref="G150">
      <x:formula1>0</x:formula1>
      <x:formula2>2</x:formula2>
    </x:dataValidation>
    <x:dataValidation type="whole" operator="between" sqref="G151">
      <x:formula1>0</x:formula1>
      <x:formula2>2</x:formula2>
    </x:dataValidation>
    <x:dataValidation type="whole" operator="between" sqref="G152">
      <x:formula1>0</x:formula1>
      <x:formula2>1</x:formula2>
    </x:dataValidation>
    <x:dataValidation type="whole" operator="between" sqref="G153">
      <x:formula1>0</x:formula1>
      <x:formula2>2</x:formula2>
    </x:dataValidation>
    <x:dataValidation type="whole" operator="between" sqref="G154">
      <x:formula1>0</x:formula1>
      <x:formula2>3</x:formula2>
    </x:dataValidation>
    <x:dataValidation type="whole" operator="between" sqref="G155">
      <x:formula1>0</x:formula1>
      <x:formula2>2</x:formula2>
    </x:dataValidation>
    <x:dataValidation type="whole" operator="between" sqref="G156">
      <x:formula1>0</x:formula1>
      <x:formula2>2</x:formula2>
    </x:dataValidation>
    <x:dataValidation type="whole" operator="between" sqref="G157">
      <x:formula1>0</x:formula1>
      <x:formula2>2</x:formula2>
    </x:dataValidation>
    <x:dataValidation type="whole" operator="between" sqref="G158">
      <x:formula1>0</x:formula1>
      <x:formula2>3</x:formula2>
    </x:dataValidation>
    <x:dataValidation type="whole" operator="between" sqref="G159">
      <x:formula1>0</x:formula1>
      <x:formula2>2</x:formula2>
    </x:dataValidation>
    <x:dataValidation type="whole" operator="between" sqref="G160">
      <x:formula1>0</x:formula1>
      <x:formula2>3</x:formula2>
    </x:dataValidation>
    <x:dataValidation type="whole" operator="between" sqref="G161">
      <x:formula1>0</x:formula1>
      <x:formula2>1</x:formula2>
    </x:dataValidation>
    <x:dataValidation type="whole" operator="between" sqref="G162">
      <x:formula1>0</x:formula1>
      <x:formula2>2</x:formula2>
    </x:dataValidation>
    <x:dataValidation type="whole" operator="between" sqref="G163">
      <x:formula1>0</x:formula1>
      <x:formula2>2</x:formula2>
    </x:dataValidation>
    <x:dataValidation type="whole" operator="between" sqref="G164">
      <x:formula1>0</x:formula1>
      <x:formula2>2</x:formula2>
    </x:dataValidation>
    <x:dataValidation type="whole" operator="between" sqref="G165">
      <x:formula1>0</x:formula1>
      <x:formula2>3</x:formula2>
    </x:dataValidation>
    <x:dataValidation type="whole" operator="between" sqref="G166">
      <x:formula1>0</x:formula1>
      <x:formula2>2</x:formula2>
    </x:dataValidation>
    <x:dataValidation type="whole" operator="between" sqref="G167">
      <x:formula1>0</x:formula1>
      <x:formula2>2</x:formula2>
    </x:dataValidation>
    <x:dataValidation type="whole" operator="between" sqref="G168">
      <x:formula1>0</x:formula1>
      <x:formula2>2</x:formula2>
    </x:dataValidation>
    <x:dataValidation type="whole" operator="between" sqref="G169">
      <x:formula1>0</x:formula1>
      <x:formula2>2</x:formula2>
    </x:dataValidation>
    <x:dataValidation type="whole" operator="between" sqref="G170">
      <x:formula1>0</x:formula1>
      <x:formula2>2</x:formula2>
    </x:dataValidation>
    <x:dataValidation type="whole" operator="between" sqref="G171">
      <x:formula1>0</x:formula1>
      <x:formula2>2</x:formula2>
    </x:dataValidation>
    <x:dataValidation type="whole" operator="between" sqref="G172">
      <x:formula1>0</x:formula1>
      <x:formula2>2</x:formula2>
    </x:dataValidation>
    <x:dataValidation type="whole" operator="between" sqref="G173">
      <x:formula1>0</x:formula1>
      <x:formula2>2</x:formula2>
    </x:dataValidation>
    <x:dataValidation type="whole" operator="between" sqref="G174">
      <x:formula1>0</x:formula1>
      <x:formula2>2</x:formula2>
    </x:dataValidation>
    <x:dataValidation type="whole" operator="between" sqref="G175">
      <x:formula1>0</x:formula1>
      <x:formula2>3</x:formula2>
    </x:dataValidation>
    <x:dataValidation type="whole" operator="between" sqref="G176">
      <x:formula1>0</x:formula1>
      <x:formula2>2</x:formula2>
    </x:dataValidation>
    <x:dataValidation type="whole" operator="between" sqref="G177">
      <x:formula1>0</x:formula1>
      <x:formula2>4</x:formula2>
    </x:dataValidation>
    <x:dataValidation type="whole" operator="between" sqref="G178">
      <x:formula1>0</x:formula1>
      <x:formula2>3</x:formula2>
    </x:dataValidation>
    <x:dataValidation type="whole" operator="between" sqref="G179">
      <x:formula1>0</x:formula1>
      <x:formula2>3</x:formula2>
    </x:dataValidation>
    <x:dataValidation type="whole" operator="between" sqref="G180">
      <x:formula1>0</x:formula1>
      <x:formula2>3</x:formula2>
    </x:dataValidation>
    <x:dataValidation type="whole" operator="between" sqref="G181">
      <x:formula1>0</x:formula1>
      <x:formula2>2</x:formula2>
    </x:dataValidation>
    <x:dataValidation type="whole" operator="between" sqref="G182">
      <x:formula1>0</x:formula1>
      <x:formula2>2</x:formula2>
    </x:dataValidation>
    <x:dataValidation type="whole" operator="between" sqref="G183">
      <x:formula1>0</x:formula1>
      <x:formula2>2</x:formula2>
    </x:dataValidation>
    <x:dataValidation type="whole" operator="between" sqref="G184">
      <x:formula1>0</x:formula1>
      <x:formula2>3</x:formula2>
    </x:dataValidation>
    <x:dataValidation type="whole" operator="between" sqref="G185">
      <x:formula1>0</x:formula1>
      <x:formula2>3</x:formula2>
    </x:dataValidation>
    <x:dataValidation type="whole" operator="between" sqref="G186">
      <x:formula1>0</x:formula1>
      <x:formula2>3</x:formula2>
    </x:dataValidation>
    <x:dataValidation type="whole" operator="between" sqref="G187">
      <x:formula1>0</x:formula1>
      <x:formula2>3</x:formula2>
    </x:dataValidation>
    <x:dataValidation type="whole" operator="between" sqref="G188">
      <x:formula1>0</x:formula1>
      <x:formula2>3</x:formula2>
    </x:dataValidation>
    <x:dataValidation type="whole" operator="between" sqref="G189">
      <x:formula1>0</x:formula1>
      <x:formula2>3</x:formula2>
    </x:dataValidation>
    <x:dataValidation type="whole" operator="between" sqref="G190">
      <x:formula1>0</x:formula1>
      <x:formula2>3</x:formula2>
    </x:dataValidation>
    <x:dataValidation type="whole" operator="between" sqref="G191">
      <x:formula1>0</x:formula1>
      <x:formula2>2</x:formula2>
    </x:dataValidation>
    <x:dataValidation type="whole" operator="between" sqref="G192">
      <x:formula1>0</x:formula1>
      <x:formula2>2</x:formula2>
    </x:dataValidation>
    <x:dataValidation type="whole" operator="between" sqref="G193">
      <x:formula1>0</x:formula1>
      <x:formula2>2</x:formula2>
    </x:dataValidation>
    <x:dataValidation type="whole" operator="between" sqref="G194">
      <x:formula1>0</x:formula1>
      <x:formula2>2</x:formula2>
    </x:dataValidation>
    <x:dataValidation type="whole" operator="between" sqref="G195">
      <x:formula1>0</x:formula1>
      <x:formula2>2</x:formula2>
    </x:dataValidation>
    <x:dataValidation type="whole" operator="between" sqref="G196">
      <x:formula1>0</x:formula1>
      <x:formula2>2</x:formula2>
    </x:dataValidation>
    <x:dataValidation type="whole" operator="between" sqref="G197">
      <x:formula1>0</x:formula1>
      <x:formula2>2</x:formula2>
    </x:dataValidation>
    <x:dataValidation type="whole" operator="between" sqref="G198">
      <x:formula1>0</x:formula1>
      <x:formula2>2</x:formula2>
    </x:dataValidation>
    <x:dataValidation type="whole" operator="between" sqref="G199">
      <x:formula1>0</x:formula1>
      <x:formula2>2</x:formula2>
    </x:dataValidation>
    <x:dataValidation type="whole" operator="between" sqref="G200">
      <x:formula1>0</x:formula1>
      <x:formula2>2</x:formula2>
    </x:dataValidation>
    <x:dataValidation type="whole" operator="between" sqref="G201">
      <x:formula1>0</x:formula1>
      <x:formula2>1</x:formula2>
    </x:dataValidation>
    <x:dataValidation type="whole" operator="between" sqref="G202">
      <x:formula1>0</x:formula1>
      <x:formula2>1</x:formula2>
    </x:dataValidation>
    <x:dataValidation type="whole" operator="between" sqref="G203">
      <x:formula1>0</x:formula1>
      <x:formula2>2</x:formula2>
    </x:dataValidation>
    <x:dataValidation type="whole" operator="between" sqref="G204">
      <x:formula1>0</x:formula1>
      <x:formula2>2</x:formula2>
    </x:dataValidation>
    <x:dataValidation type="whole" operator="between" sqref="G205">
      <x:formula1>0</x:formula1>
      <x:formula2>2</x:formula2>
    </x:dataValidation>
    <x:dataValidation type="whole" operator="between" sqref="G206">
      <x:formula1>0</x:formula1>
      <x:formula2>2</x:formula2>
    </x:dataValidation>
    <x:dataValidation type="whole" operator="between" sqref="H7:H206">
      <x:formula1>0</x:formula1>
      <x:formula2>1</x:formula2>
    </x:dataValidation>
  </x:dataValidations>
  <x:pageMargins left="0.7" right="0.7" top="0.75" bottom="0.75" header="0.3" footer="0.3"/>
  <x:tableParts count="1">
    <x:tablePart xmlns:r="http://schemas.openxmlformats.org/officeDocument/2006/relationships" r:id="R9cab95680649477a"/>
  </x:tableParts>
</x:worksheet>
</file>

<file path=xl/worksheets/sheet3.xml><?xml version="1.0" encoding="utf-8"?>
<x:worksheet xmlns:x="http://schemas.openxmlformats.org/spreadsheetml/2006/main">
  <x:sheetPr>
    <x:tabColor rgb="FF8694A6"/>
  </x:sheetPr>
  <x:sheetViews>
    <x:sheetView showGridLines="0" workbookViewId="0">
      <x:pane ySplit="5" topLeftCell="A6" activePane="bottomLeft" state="frozen"/>
    </x:sheetView>
  </x:sheetViews>
  <x:sheetFormatPr defaultRowHeight="15"/>
  <x:cols>
    <x:col min="1" max="1" width="26" hidden="0" customWidth="1"/>
    <x:col min="2" max="2" width="116" hidden="0" customWidth="1"/>
  </x:cols>
  <x:sheetData>
    <x:row r="1">
      <x:c r="A1" s="2"/>
      <x:c r="B1" s="2"/>
    </x:row>
    <x:row r="2" ht="27" customHeight="1">
      <x:c r="A2" s="3" t="str">
        <x:v>Sources and grading protocol</x:v>
      </x:c>
      <x:c r="B2" s="2"/>
    </x:row>
    <x:row r="3">
      <x:c r="A3" s="4"/>
      <x:c r="B3" s="4"/>
    </x:row>
    <x:row r="4">
      <x:c r="A4" s="2"/>
      <x:c r="B4" s="2"/>
    </x:row>
    <x:row r="5" ht="32" customHeight="1">
      <x:c r="A5" s="13" t="str">
        <x:v>Topic</x:v>
      </x:c>
      <x:c r="B5" s="13" t="str">
        <x:v>Protocol / source</x:v>
      </x:c>
    </x:row>
    <x:row r="6" ht="42" customHeight="1">
      <x:c r="A6" s="27" t="str">
        <x:v>Paper</x:v>
      </x:c>
      <x:c r="B6" s="27" t="str">
        <x:v>Maday S, Wallace KE, Holzbaur ELF. Autophagosomes initiate distally and mature during transport toward the cell soma in primary neurons. J Cell Biol. 2012;196(4):407–417. DOI 10.1083/jcb.201106120.</x:v>
      </x:c>
    </x:row>
    <x:row r="7" ht="40" customHeight="1">
      <x:c r="A7" s="7" t="str">
        <x:v>Primary structured source</x:v>
      </x:c>
      <x:c r="B7" s="7" t="str">
        <x:v>https://www.ebi.ac.uk/europepmc/webservices/rest/PMC3283992/fullTextXML</x:v>
      </x:c>
    </x:row>
    <x:row r="8" ht="40" customHeight="1">
      <x:c r="A8" s="27" t="str">
        <x:v>Complementary PDF</x:v>
      </x:c>
      <x:c r="B8" s="27" t="str">
        <x:v>https://www.med.upenn.edu/madaylab/assets/user-content/documents/JCB2012.pdf</x:v>
      </x:c>
    </x:row>
    <x:row r="9" ht="42" customHeight="1">
      <x:c r="A9" s="7" t="str">
        <x:v>Source coverage</x:v>
      </x:c>
      <x:c r="B9" s="7" t="str">
        <x:v>XML supplies metadata, article text, five main figure legends and references. The 15-page PDF includes Figures S1–S3 and all five video captions on PDF pages 12–15 (supplemental S1–S4). There are no data tables.</x:v>
      </x:c>
    </x:row>
    <x:row r="10" ht="42" customHeight="1">
      <x:c r="A10" s="27" t="str">
        <x:v>Visual verification</x:v>
      </x:c>
      <x:c r="B10" s="27" t="str">
        <x:v>The five main figures and four supplemental pages were inspected. Video questions use published captions; the video files were not viewed. No exact values were digitized from bar plots.</x:v>
      </x:c>
    </x:row>
    <x:row r="11" ht="42" customHeight="1">
      <x:c r="A11" s="7" t="str">
        <x:v>Asset endpoint caveat</x:v>
      </x:c>
      <x:c r="B11" s="7" t="str">
        <x:v>The Europe PMC supplementaryFiles ZIP contains the five main figures and thumbnails, not Figures S1–S3 or the video files.</x:v>
      </x:c>
    </x:row>
    <x:row r="12" ht="42" customHeight="1">
      <x:c r="A12" s="27" t="str">
        <x:v>Evidence IDs</x:v>
      </x:c>
      <x:c r="B12" s="27" t="str">
        <x:v>E001–E056, M001–M002 and R001 map to exact XPaths in the saved XML. S001–S004 map to PDF pages 12–15. The evidence-index JSON supplies the source text and locators. IDs are benchmark-local, not publisher paragraph IDs.</x:v>
      </x:c>
    </x:row>
    <x:row r="13" ht="42" customHeight="1">
      <x:c r="A13" s="7" t="str">
        <x:v>Scoring elements</x:v>
      </x:c>
      <x:c r="B13" s="7" t="str">
        <x:v>Each numbered reference-answer element is worth 1 point. A compound element requires all its explicitly requested components. Accept accurate paraphrases, equivalent units and faithful scientific aliases.</x:v>
      </x:c>
    </x:row>
    <x:row r="14" ht="42" customHeight="1">
      <x:c r="A14" s="27" t="str">
        <x:v>Critical qualifiers</x:v>
      </x:c>
      <x:c r="B14" s="27" t="str">
        <x:v>Keep species, cell type, location, time, direction, polarity, value, unit, denominator, mean/median, SEM and evidential status. Match explicit numbers at reported precision and preserve approximate values/ranges.</x:v>
      </x:c>
    </x:row>
    <x:row r="15" ht="42" customHeight="1">
      <x:c r="A15" s="7" t="str">
        <x:v>Contradictions</x:v>
      </x:c>
      <x:c r="B15" s="7" t="str">
        <x:v>An element contradicted elsewhere in the response earns zero. Do not infer selective aggregate recognition from uptake, successful clearance from robust transport, or proven causation from colocalization.</x:v>
      </x:c>
    </x:row>
    <x:row r="16" ht="42" customHeight="1">
      <x:c r="A16" s="27" t="str">
        <x:v>Evidence credit</x:v>
      </x:c>
      <x:c r="B16" s="27" t="str">
        <x:v>Enter 1 only for a correct answer supported by an accurate section, paragraph, figure/panel or supplemental locator; otherwise enter 0. For an absent measurement, identify the examined scope and abstain.</x:v>
      </x:c>
    </x:row>
    <x:row r="17" ht="42" customHeight="1">
      <x:c r="A17" s="7" t="str">
        <x:v>Full-suite score</x:v>
      </x:c>
      <x:c r="B17" s="7" t="str">
        <x:v>100 × sum(content earned) / 405. The denominator is fixed for all 200 questions. Ungraded cells contribute zero; report grading coverage. Category macro average gives equal weight to each of the 12 categories.</x:v>
      </x:c>
    </x:row>
    <x:row r="18" ht="42" customHeight="1">
      <x:c r="A18" s="27" t="str">
        <x:v>Evidence score</x:v>
      </x:c>
      <x:c r="B18" s="27" t="str">
        <x:v>100 × sum(evidence credits) / 200. Evidence coverage counts numeric grades, including zero. Keep evidence accuracy separate from the content score.</x:v>
      </x:c>
    </x:row>
    <x:row r="19" ht="42" customHeight="1">
      <x:c r="A19" s="7" t="str">
        <x:v>Abstention subset</x:v>
      </x:c>
      <x:c r="B19" s="7" t="str">
        <x:v>15 questions ask for absent or unestablished information. Reward explicit abstention and the stated caveat. Not reported differs from experimentally disproven. Unanswerable means unanswerable at the specificity requested.</x:v>
      </x:c>
    </x:row>
    <x:row r="20" ht="42" customHeight="1">
      <x:c r="A20" s="27" t="str">
        <x:v>Synthesis subset</x:v>
      </x:c>
      <x:c r="B20" s="27" t="str">
        <x:v>15 questions combine findings across locations. Their answers are benchmark-generated syntheses grounded in the cited passages. Score them separately when measuring simple fact extraction.</x:v>
      </x:c>
    </x:row>
    <x:row r="21" ht="56" customHeight="1">
      <x:c r="A21" s="7" t="str">
        <x:v>Corpus tracks</x:v>
      </x:c>
      <x:c r="B21" s="7" t="str">
        <x:v>The main track uses XML plus the supplemental PDF. 159 items are tagged XML; 41 cite supplemental evidence and are conservatively tagged XML+supplement. For XML-only testing, select the XML items first and recompute the denominator externally; the workbook scorecard always covers all 200.</x:v>
      </x:c>
    </x:row>
    <x:row r="22" ht="42" customHeight="1">
      <x:c r="A22" s="27" t="str">
        <x:v>Prevent leakage</x:v>
      </x:c>
      <x:c r="B22" s="27" t="str">
        <x:v>Keep this workbook, the gold JSONL, benchmark Markdown and evidence index outside the indexed corpus. Use the questions-only JSONL as the evaluation input; ingest only the approved article sources.</x:v>
      </x:c>
    </x:row>
    <x:row r="23" ht="70" customHeight="1">
      <x:c r="A23" s="7" t="str">
        <x:v>Diagnose the pipeline</x:v>
      </x:c>
      <x:c r="B23" s="7" t="str">
        <x:v>Inspect the stored graph and final answer context. Compare A: full original text, B: graph pipeline, and C: original supporting passage supplied manually. The detailed point 8 clarification and worked Q040 example begin at row 29 below.</x:v>
      </x:c>
    </x:row>
    <x:row r="24" ht="56" customHeight="1">
      <x:c r="A24" s="27" t="str">
        <x:v>Interpretation limit</x:v>
      </x:c>
      <x:c r="B24" s="27" t="str">
        <x:v>QA scores measure recoverable knowledge, not complete graph edge precision/recall. Audit triples with context, numerical attributes, polarity, uncertainty and provenance. This curated benchmark has not received independent expert adjudication.</x:v>
      </x:c>
    </x:row>
    <x:row r="25" ht="42" customHeight="1">
      <x:c r="A25" s="7" t="str">
        <x:v>Related article</x:v>
      </x:c>
      <x:c r="B25" s="7" t="str">
        <x:v>PMC3378425 is a separate commentary linked in metadata. Its content and subsequent research are outside this benchmark corpus.</x:v>
      </x:c>
    </x:row>
    <x:row r="26" ht="70" customHeight="1">
      <x:c r="A26" s="27" t="str">
        <x:v>Version and reuse</x:v>
      </x:c>
      <x:c r="B26" s="27" t="str">
        <x:v>Version 1.2; point 8 expanded with A/B/C instructions, Q040 example, failure diagnosis and a DeepEval scoring script. The 200 questions and 405-point content rubric are unchanged. Sources retrieved 16 October 2026; source fingerprints are in manifest.json. Source article: CC BY-NC-SA 3.0 after the initial six-month period.</x:v>
      </x:c>
    </x:row>
    <x:row r="27">
      <x:c r="A27" s="2"/>
      <x:c r="B27" s="2"/>
    </x:row>
    <x:row r="29" ht="30" customHeight="1">
      <x:c r="A29" s="34" t="str">
        <x:v>Point 8</x:v>
      </x:c>
      <x:c r="B29" s="34" t="str">
        <x:v>Point 8 explained: locating information loss</x:v>
      </x:c>
    </x:row>
    <x:row r="30" ht="61" customHeight="1">
      <x:c r="A30" s="7" t="str">
        <x:v>Purpose</x:v>
      </x:c>
      <x:c r="B30" s="7" t="str">
        <x:v>The aim is to find where information is lost: during document ingestion, extraction into the graph, retrieval, or answer writing. Comparing answer scores alone cannot reliably distinguish these failures. The A/B/C runs are diagnostic comparisons; you do not need to build three different RAG systems.</x:v>
      </x:c>
    </x:row>
    <x:row r="31" ht="42" customHeight="1">
      <x:c r="A31" s="35" t="str">
        <x:v>Pipeline</x:v>
      </x:c>
      <x:c r="B31" s="35" t="str">
        <x:v>Paper → ingestion/preprocessing → extraction into the graph → retrieval of relevant facts → answer generation.</x:v>
      </x:c>
    </x:row>
    <x:row r="32" ht="46" customHeight="1">
      <x:c r="A32" s="7" t="str">
        <x:v>Key extraction check</x:v>
      </x:c>
      <x:c r="B32" s="7" t="str">
        <x:v>Check whether each expected fact was correctly stored in the graph before retrieval happens. Examine the relevant nodes, relationships and properties directly, including questions that the system answered correctly.</x:v>
      </x:c>
    </x:row>
    <x:row r="33" ht="30" customHeight="1">
      <x:c r="A33" s="34" t="str">
        <x:v>Point 8</x:v>
      </x:c>
      <x:c r="B33" s="34" t="str">
        <x:v>What to supply in each run</x:v>
      </x:c>
    </x:row>
    <x:row r="34" ht="76" customHeight="1">
      <x:c r="A34" s="7" t="str">
        <x:v>A — Original paper</x:v>
      </x:c>
      <x:c r="B34" s="7" t="str">
        <x:v>Input to the answering LLM: The same question plus the complete approved paper text, including relevant figure captions and supplements, directly in the answering model’s context. Use text itself, not just a URL.
Stages bypassed: Graph extraction and retrieval.
What it tests: Whether the answering model can answer from the original document.</x:v>
      </x:c>
    </x:row>
    <x:row r="35" ht="91" customHeight="1">
      <x:c r="A35" s="35" t="str">
        <x:v>B — Extracted graph</x:v>
      </x:c>
      <x:c r="B35" s="35" t="str">
        <x:v>Input to the answering LLM: The question goes through your system’s graph retriever. The answering LLM receives the selected structured graph facts, relationships and properties. Log the final evidence context it actually receives.
Stages bypassed: None of the extraction/retrieval/answering stages.
What it tests: Whether the full graph pipeline preserves, retrieves and uses the information.</x:v>
      </x:c>
    </x:row>
    <x:row r="36" ht="76" customHeight="1">
      <x:c r="A36" s="7" t="str">
        <x:v>C — Correct evidence supplied manually</x:v>
      </x:c>
      <x:c r="B36" s="7" t="str">
        <x:v>Input to the answering LLM: The same question plus the original supporting passage selected using the benchmark’s evidence location. Do not include the reference answer.
Stages bypassed: Graph extraction and retrieval; most irrelevant document context is also removed.
What it tests: Whether the answering model can answer when the necessary original evidence is definitely present.</x:v>
      </x:c>
    </x:row>
    <x:row r="37" ht="61" customHeight="1">
      <x:c r="A37" s="35" t="str">
        <x:v>Meaning of gold evidence</x:v>
      </x:c>
      <x:c r="B37" s="35" t="str">
        <x:v>Gold evidence means the supporting original passage or passages from the paper. It does not mean the gold/reference answer, answer elements, or a rewritten fact containing the expected answer. For synthesis questions, supply all necessary passages.</x:v>
      </x:c>
    </x:row>
    <x:row r="38" ht="61" customHeight="1">
      <x:c r="A38" s="7" t="str">
        <x:v>Fair comparison</x:v>
      </x:c>
      <x:c r="B38" s="7" t="str">
        <x:v>Keep the question wording, answering model/version, system instructions and generation settings the same. Use a fresh context for each request and require answers grounded only in the supplied evidence. Change only the evidence supplied to the answering model. Record source versions and the exact final context for each run.</x:v>
      </x:c>
    </x:row>
    <x:row r="39" ht="61" customHeight="1">
      <x:c r="A39" s="35" t="str">
        <x:v>Context limits</x:v>
      </x:c>
      <x:c r="B39" s="35" t="str">
        <x:v>For run A, verify that the complete approved text fits without silent truncation. If it does not fit, record run A as unavailable or label a source-retrieval variant separately; that variant also tests retrieval and is not the full-document baseline.</x:v>
      </x:c>
    </x:row>
    <x:row r="40" ht="76" customHeight="1">
      <x:c r="A40" s="7" t="str">
        <x:v>Graph-only versus graph plus source</x:v>
      </x:c>
      <x:c r="B40" s="7" t="str">
        <x:v>For extraction-focused run B, use the extracted structured graph facts and their provenance. If your production system also retrieves original source paragraphs, label that run graph plus source and assess it separately. An answering model can recover a missing extracted value from the original paragraph, hiding an extraction failure. A value present only inside a linked raw paragraph has not necessarily been extracted as a structured fact.</x:v>
      </x:c>
    </x:row>
    <x:row r="41" ht="30" customHeight="1">
      <x:c r="A41" s="34" t="str">
        <x:v>Point 8</x:v>
      </x:c>
      <x:c r="B41" s="34" t="str">
        <x:v>Worked example: Q040</x:v>
      </x:c>
    </x:row>
    <x:row r="42" ht="46" customHeight="1">
      <x:c r="A42" s="7" t="str">
        <x:v>Question</x:v>
      </x:c>
      <x:c r="B42" s="7" t="str">
        <x:v>What fraction of autophagosomes underwent net retrograde movement, with what uncertainty and displacement threshold?</x:v>
      </x:c>
    </x:row>
    <x:row r="43" ht="42" customHeight="1">
      <x:c r="A43" s="35" t="str">
        <x:v>Reference answer</x:v>
      </x:c>
      <x:c r="B43" s="35" t="str">
        <x:v>82 ± 2% (SEM); net retrograde displacement ≥10 µm. These are Q040’s existing two content-scoring elements.</x:v>
      </x:c>
    </x:row>
    <x:row r="44" ht="46" customHeight="1">
      <x:c r="A44" s="7" t="str">
        <x:v>Source location</x:v>
      </x:c>
      <x:c r="B44" s="7" t="str">
        <x:v>E014 — Results, distal initiation, paragraph 5. Exact JATS XPath: /article/body/sec[2]/sec[1]/p[5]. Source: https://www.ebi.ac.uk/europepmc/webservices/rest/PMC3283992/fullTextXML</x:v>
      </x:c>
    </x:row>
    <x:row r="45" ht="121" customHeight="1">
      <x:c r="A45" s="35" t="str">
        <x:v>Original supporting paragraph for run C</x:v>
      </x:c>
      <x:c r="B45" s="35" t="str">
        <x:v>GFP-LC3–positive rings in the distal process either remained stationary or displayed saltatory bidirectional motility in a constrained region within ∼150–200 µm of the neurite tip (Fig. 1 F). Occasionally, autophagosomes could be seen exiting this bidirectional pool to initiate travel toward the cell body (Fig. 1 F and Video 2). Along the axon shaft, autophagosomes exhibited a different type of movement. Within the axon (50–500 µm from the cell body), autophagosomes displayed robust and primarily unidirectional motility (Fig. 1, G–I; and Video 3), with 82 ± 2% (±SEM) moving a net distance of ≥10 µm in the retrograde direction. Anterograde movement was rarely observed (&lt;1%), whereas &lt;20% of autophagosomes exhibited nonprocessive bidirectional motility or remained stationary.</x:v>
      </x:c>
    </x:row>
    <x:row r="46" ht="46" customHeight="1">
      <x:c r="A46" s="7" t="str">
        <x:v>A</x:v>
      </x:c>
      <x:c r="B46" s="7" t="str">
        <x:v>Concrete action for Q040: Supply the approved article text and supplements directly to the answering model and ask Q040.</x:v>
      </x:c>
    </x:row>
    <x:row r="47" ht="46" customHeight="1">
      <x:c r="A47" s="35" t="str">
        <x:v>B</x:v>
      </x:c>
      <x:c r="B47" s="35" t="str">
        <x:v>Concrete action for Q040: Ask Q040 through the graph pipeline. Save the relevant stored graph records, the exact final context sent to the answering model, and its answer.</x:v>
      </x:c>
    </x:row>
    <x:row r="48" ht="46" customHeight="1">
      <x:c r="A48" s="7" t="str">
        <x:v>C</x:v>
      </x:c>
      <x:c r="B48" s="7" t="str">
        <x:v>Concrete action for Q040: Supply the original E014 paragraph above and ask Q040, without supplying the reference answer.</x:v>
      </x:c>
    </x:row>
    <x:row r="49" ht="30" customHeight="1">
      <x:c r="A49" s="34" t="str">
        <x:v>Point 8</x:v>
      </x:c>
      <x:c r="B49" s="34" t="str">
        <x:v>What to check in the stored graph for Q040</x:v>
      </x:c>
    </x:row>
    <x:row r="50" ht="46" customHeight="1">
      <x:c r="A50" s="7" t="str">
        <x:v>Representation</x:v>
      </x:c>
      <x:c r="B50" s="7" t="str">
        <x:v>The information may be distributed across nodes, relationships or properties. The following is a schema-independent checklist; it does not prescribe a particular graph schema.</x:v>
      </x:c>
    </x:row>
    <x:row r="51" ht="42" customHeight="1">
      <x:c r="A51" s="35" t="str">
        <x:v>Population/context</x:v>
      </x:c>
      <x:c r="B51" s="35" t="str">
        <x:v>Expected representation: Autophagosomes in cultured mouse DRG axons.</x:v>
      </x:c>
    </x:row>
    <x:row r="52" ht="42" customHeight="1">
      <x:c r="A52" s="7" t="str">
        <x:v>Movement</x:v>
      </x:c>
      <x:c r="B52" s="7" t="str">
        <x:v>Expected representation: Net retrograde movement, toward the cell soma.</x:v>
      </x:c>
    </x:row>
    <x:row r="53" ht="42" customHeight="1">
      <x:c r="A53" s="35" t="str">
        <x:v>Fraction</x:v>
      </x:c>
      <x:c r="B53" s="35" t="str">
        <x:v>Expected representation: 82%.</x:v>
      </x:c>
    </x:row>
    <x:row r="54" ht="42" customHeight="1">
      <x:c r="A54" s="7" t="str">
        <x:v>Uncertainty</x:v>
      </x:c>
      <x:c r="B54" s="7" t="str">
        <x:v>Expected representation: ±2 percentage points; the uncertainty statistic is SEM.</x:v>
      </x:c>
    </x:row>
    <x:row r="55" ht="42" customHeight="1">
      <x:c r="A55" s="35" t="str">
        <x:v>Classification threshold</x:v>
      </x:c>
      <x:c r="B55" s="35" t="str">
        <x:v>Expected representation: Net displacement ≥10 µm.</x:v>
      </x:c>
    </x:row>
    <x:row r="56" ht="42" customHeight="1">
      <x:c r="A56" s="7" t="str">
        <x:v>Provenance</x:v>
      </x:c>
      <x:c r="B56" s="7" t="str">
        <x:v>Expected representation: A link/locator supporting the measurement in E014.</x:v>
      </x:c>
    </x:row>
    <x:row r="57" ht="46" customHeight="1">
      <x:c r="A57" s="35" t="str">
        <x:v>Scoring boundary</x:v>
      </x:c>
      <x:c r="B57" s="35" t="str">
        <x:v>The context and provenance checks help diagnose extraction quality. They do not add points to Q040’s existing 2-point content rubric or change the 405-point benchmark total. Evidence credit remains separate.</x:v>
      </x:c>
    </x:row>
    <x:row r="58" ht="30" customHeight="1">
      <x:c r="A58" s="34" t="str">
        <x:v>Point 8</x:v>
      </x:c>
      <x:c r="B58" s="34" t="str">
        <x:v>How to locate a failure</x:v>
      </x:c>
    </x:row>
    <x:row r="59" ht="61" customHeight="1">
      <x:c r="A59" s="35" t="str">
        <x:v>The supporting passage never reached the extractor.</x:v>
      </x:c>
      <x:c r="B59" s="35" t="str">
        <x:v>Where to investigate: Document ingestion or preprocessing, such as an omitted caption or supplement.</x:v>
      </x:c>
    </x:row>
    <x:row r="60" ht="91" customHeight="1">
      <x:c r="A60" s="7" t="str">
        <x:v>The passage reached the extractor, but the graph lacks the percentage, uncertainty or threshold, or stores it incorrectly.</x:v>
      </x:c>
      <x:c r="B60" s="7" t="str">
        <x:v>Where to investigate: Extraction or graph representation.</x:v>
      </x:c>
    </x:row>
    <x:row r="61" ht="91" customHeight="1">
      <x:c r="A61" s="35" t="str">
        <x:v>The graph stores the correct facts, but they are missing from the final context sent to the answering model.</x:v>
      </x:c>
      <x:c r="B61" s="35" t="str">
        <x:v>Where to investigate: Retrieval or context assembly, including filtering, reranking or truncation.</x:v>
      </x:c>
    </x:row>
    <x:row r="62" ht="76" customHeight="1">
      <x:c r="A62" s="7" t="str">
        <x:v>The final context contains the necessary correct facts, but the answer is wrong or incomplete.</x:v>
      </x:c>
      <x:c r="B62" s="7" t="str">
        <x:v>Where to investigate: Answer generation. Inspect contradictory context as well as omissions.</x:v>
      </x:c>
    </x:row>
    <x:row r="63" ht="61" customHeight="1">
      <x:c r="A63" s="35" t="str">
        <x:v>Multiple failures</x:v>
      </x:c>
      <x:c r="B63" s="35" t="str">
        <x:v>A question may expose more than one failure. Record each observed failure rather than assuming the A/B/C score pattern uniquely identifies a stage. Correct answers also need graph inspection because source passages or prior model knowledge can mask extraction errors.</x:v>
      </x:c>
    </x:row>
    <x:row r="64" ht="61" customHeight="1">
      <x:c r="A64" s="7" t="str">
        <x:v>Unanswerable items</x:v>
      </x:c>
      <x:c r="B64" s="7" t="str">
        <x:v>For the 15 abstention questions, absence from a retrieved snippet or graph does not prove absence from the paper. Judge whether the requested detail is unreported or unestablished against the complete approved source scope; do not supply the reference answer as evidence.</x:v>
      </x:c>
    </x:row>
    <x:row r="65" ht="30" customHeight="1">
      <x:c r="A65" s="34" t="str">
        <x:v>Point 8</x:v>
      </x:c>
      <x:c r="B65" s="34" t="str">
        <x:v>A practical first evaluation</x:v>
      </x:c>
    </x:row>
    <x:row r="66" ht="46" customHeight="1">
      <x:c r="A66" s="7" t="str">
        <x:v>Step 1</x:v>
      </x:c>
      <x:c r="B66" s="7" t="str">
        <x:v>Select 20 representative questions, including numerical findings, relationships, experimental context, negative findings and uncertainty. Keep the selected IDs fixed.</x:v>
      </x:c>
    </x:row>
    <x:row r="67" ht="46" customHeight="1">
      <x:c r="A67" s="35" t="str">
        <x:v>Step 2</x:v>
      </x:c>
      <x:c r="B67" s="35" t="str">
        <x:v>Run B and inspect the stored graph for every selected question. For each expected answer element, record whether its source reached the extractor and whether the graph stores the element correctly.</x:v>
      </x:c>
    </x:row>
    <x:row r="68" ht="46" customHeight="1">
      <x:c r="A68" s="7" t="str">
        <x:v>Step 3</x:v>
      </x:c>
      <x:c r="B68" s="7" t="str">
        <x:v>Save the exact final evidence context sent to the answering model and its answer. Record whether the necessary facts reached the model and whether the answer is correct.</x:v>
      </x:c>
    </x:row>
    <x:row r="69" ht="46" customHeight="1">
      <x:c r="A69" s="35" t="str">
        <x:v>Step 4</x:v>
      </x:c>
      <x:c r="B69" s="35" t="str">
        <x:v>Use run C to investigate incorrect/incomplete answers. Use run A as an original-document comparison. Keep the same model and settings.</x:v>
      </x:c>
    </x:row>
    <x:row r="70" ht="46" customHeight="1">
      <x:c r="A70" s="7" t="str">
        <x:v>Step 5</x:v>
      </x:c>
      <x:c r="B70" s="7" t="str">
        <x:v>Grade A, B and C separately. Use a separate workbook copy per run or a results table keyed by question ID and run; do not overwrite one run’s grades with another. Record graph-only versus graph-plus-source mode.</x:v>
      </x:c>
    </x:row>
    <x:row r="71" ht="46" customHeight="1">
      <x:c r="A71" s="35" t="str">
        <x:v>Step 6</x:v>
      </x:c>
      <x:c r="B71" s="35" t="str">
        <x:v>Report the graph fact audit alongside the QA scores. Audit at the numbered answer-element level so a stored percentage does not hide a missing uncertainty or displacement threshold.</x:v>
      </x:c>
    </x:row>
    <x:row r="72" ht="76" customHeight="1">
      <x:c r="A72" s="7" t="str">
        <x:v>Q040 / B</x:v>
      </x:c>
      <x:c r="B72" s="7" t="str">
        <x:v>Source reached extractor?: Pending inspection
Expected facts correctly stored?: Pending inspection
Required facts in final answer context?: Pending inspection
Answer correct?: Pending grading</x:v>
      </x:c>
    </x:row>
    <x:row r="73" ht="76" customHeight="1">
      <x:c r="A73" s="35" t="str">
        <x:v>Q040 / A</x:v>
      </x:c>
      <x:c r="B73" s="35" t="str">
        <x:v>Source reached extractor?: Not applicable to this run
Expected facts correctly stored?: Not applicable to this run
Required facts in final answer context?: Check full text is supplied
Answer correct?: Pending grading</x:v>
      </x:c>
    </x:row>
    <x:row r="74" ht="76" customHeight="1">
      <x:c r="A74" s="7" t="str">
        <x:v>Q040 / C</x:v>
      </x:c>
      <x:c r="B74" s="7" t="str">
        <x:v>Source reached extractor?: Not applicable to this run
Expected facts correctly stored?: Not applicable to this run
Required facts in final answer context?: Check E014 is supplied
Answer correct?: Pending grading</x:v>
      </x:c>
    </x:row>
    <x:row r="75" ht="61" customHeight="1">
      <x:c r="A75" s="35" t="str">
        <x:v>Interpretation</x:v>
      </x:c>
      <x:c r="B75" s="35" t="str">
        <x:v>A failed QA response is a reason to inspect the graph, retrieval context and answer; it is not automatically an extraction failure. QA measures recoverable knowledge. A separate atomic-fact audit is needed to assess extraction coverage and incorrect stored claims; this benchmark is not an exhaustive gold graph.</x:v>
      </x:c>
    </x:row>
    <x:row r="76" ht="30" customHeight="1">
      <x:c r="A76" s="34" t="str">
        <x:v>Point 8</x:v>
      </x:c>
      <x:c r="B76" s="34" t="str">
        <x:v>Automated scoring example with DeepEval</x:v>
      </x:c>
    </x:row>
    <x:row r="77" ht="61" customHeight="1">
      <x:c r="A77" s="35" t="str">
        <x:v>Included example</x:v>
      </x:c>
      <x:c r="B77" s="35" t="str">
        <x:v>The package includes examples/score_with_deepeval.py, examples/requirements.txt, examples/README.md and fictional A/B/C response traces for Q040. The scorer reads the existing gold JSONL and your saved system answers. It does not connect to your RAG automatically; capture your system-specific outputs first.</x:v>
      </x:c>
    </x:row>
    <x:row r="78" ht="76" customHeight="1">
      <x:c r="A78" s="7" t="str">
        <x:v>Library and scoring</x:v>
      </x:c>
      <x:c r="B78" s="7" t="str">
        <x:v>The example pins DeepEval 4.3.1 and uses GEval with LLMTestCase. It makes a strict binary judgment for each numbered answer element and adds the judgments into the existing question score. Citation scoring and graph/final-context audits are optional. Instructions and references: https://deepeval.com/docs/metrics-llm-evals and https://deepeval.com/docs/evaluation-test-cases</x:v>
      </x:c>
    </x:row>
    <x:row r="79" ht="61" customHeight="1">
      <x:c r="A79" s="35" t="str">
        <x:v>No-network checks</x:v>
      </x:c>
      <x:c r="B79" s="35" t="str">
        <x:v>From the extracted package directory, run: python examples/score_with_deepeval.py --self-test
Then validate the fictional fixture without calling a judge: python examples/score_with_deepeval.py --responses examples/fictional_responses.jsonl --runs A,B,C --ids Q040 --allow-fixtures --dry-run</x:v>
      </x:c>
    </x:row>
    <x:row r="80" ht="61" customHeight="1">
      <x:c r="A80" s="7" t="str">
        <x:v>Install and configure</x:v>
      </x:c>
      <x:c r="B80" s="7" t="str">
        <x:v>Create an isolated environment and install examples/requirements.txt. Configure credentials for your chosen DeepEval judge in the process environment. The included examples/README.md has the complete commands, response format and model setup links.</x:v>
      </x:c>
    </x:row>
    <x:row r="81" ht="76" customHeight="1">
      <x:c r="A81" s="35" t="str">
        <x:v>Real scoring command</x:v>
      </x:c>
      <x:c r="B81" s="35" t="str">
        <x:v>After configuring the environment, an example one-question comparison is: python examples/score_with_deepeval.py --responses my_responses.jsonl --runs A,B,C --ids Q040 --judge-model YOUR_JUDGE_MODEL --output-dir results/q040
Replace YOUR_JUDGE_MODEL with your configured judge. Omit --ids for the full selected track; use --track xml for the conservative XML-only subset.</x:v>
      </x:c>
    </x:row>
    <x:row r="82" ht="61" customHeight="1">
      <x:c r="A82" s="7" t="str">
        <x:v>Saved trace fields</x:v>
      </x:c>
      <x:c r="B82" s="7" t="str">
        <x:v>Each response needs id, run (A/B/C) and actual_output. For evidence scoring, also record citations. For stage audits, record the exact final retrieval_context, all relevant stored structured graph_facts before retrieval, and graph_facts_complete=true. Record source_reached_extractor only when known from logs.</x:v>
      </x:c>
    </x:row>
    <x:row r="83" ht="61" customHeight="1">
      <x:c r="A83" s="35" t="str">
        <x:v>Optional diagnostics</x:v>
      </x:c>
      <x:c r="B83" s="35" t="str">
        <x:v>Add --score-evidence for source citation credit. Add --audit-stages to compare required answer elements with the complete graph records and final answer context for answerable B items. These are provisional diagnostic suggestions; a missing value in retrieved records alone cannot establish an extraction failure.</x:v>
      </x:c>
    </x:row>
    <x:row r="84" ht="76" customHeight="1">
      <x:c r="A84" s="7" t="str">
        <x:v>Reports and denominators</x:v>
      </x:c>
      <x:c r="B84" s="7" t="str">
        <x:v>The script writes question_scores.csv, question_scores.jsonl, element_scores.jsonl and summary.json. It reports A/B/C separately, with category scores, category macro averages and grading coverage. The full track is 200 questions / 405 points per run; a selected subset gets its own fixed denominator. Missing responses count as zero. Judge errors stop the run without a completed summary.</x:v>
      </x:c>
    </x:row>
    <x:row r="85" ht="76" customHeight="1">
      <x:c r="A85" s="35" t="str">
        <x:v>Practical limits</x:v>
      </x:c>
      <x:c r="B85" s="35" t="str">
        <x:v>A full content run can require 405 judge calls; citation and stage audits add calls. Real scoring sends selected data to your configured judge and incurs its normal charges. The fixture is fictional; local checks verify API/reporting mechanics, not scientific judge accuracy. Calibrate automatic grades with a manually reviewed sample. Keep all gold/example/evaluation files outside the indexed source corpus.</x:v>
      </x:c>
    </x:row>
  </x:sheetData>
  <x:pageMargins left="0.7" right="0.7" top="0.75" bottom="0.75" header="0.3" footer="0.3"/>
</x:worksheet>
</file>